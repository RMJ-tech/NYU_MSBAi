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ightPath 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555555"/>
      <sz val="10"/>
    </font>
    <font>
      <b val="1"/>
    </font>
    <font>
      <b val="1"/>
      <sz val="12"/>
    </font>
    <font>
      <b val="1"/>
      <color rgb="00FFFFFF"/>
      <sz val="11"/>
    </font>
    <font>
      <b val="1"/>
      <color rgb="001F4E78"/>
      <sz val="12"/>
    </font>
    <font>
      <name val="Consolas"/>
      <sz val="10"/>
    </font>
  </fonts>
  <fills count="8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FFC000"/>
      </patternFill>
    </fill>
    <fill>
      <patternFill patternType="solid">
        <fgColor rgb="001F4E78"/>
      </patternFill>
    </fill>
    <fill>
      <patternFill patternType="solid">
        <fgColor rgb="00FFFF00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0" fillId="2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" customWidth="1" min="2" max="2"/>
    <col width="7" customWidth="1" min="3" max="3"/>
    <col width="7" customWidth="1" min="4" max="4"/>
    <col width="7" customWidth="1" min="5" max="5"/>
    <col width="6" customWidth="1" min="6" max="6"/>
    <col width="18" customWidth="1" min="7" max="7"/>
    <col width="8" customWidth="1" min="8" max="8"/>
    <col width="8" customWidth="1" min="9" max="9"/>
    <col width="8" customWidth="1" min="10" max="10"/>
    <col width="8" customWidth="1" min="11" max="11"/>
    <col width="16" customWidth="1" min="12" max="12"/>
  </cols>
  <sheetData>
    <row r="1">
      <c r="A1" s="1" t="inlineStr">
        <is>
          <t>BrightPath Analytics — Data-Scientist-to-Project Assignment (Solver Optimization Model)</t>
        </is>
      </c>
    </row>
    <row r="2">
      <c r="A2" s="2" t="inlineStr">
        <is>
          <t>Binary assignment model. Maximize total suitability. Orange = Objective (Set Objective).  Yellow = Changing Variable Cells (decisions).</t>
        </is>
      </c>
    </row>
    <row r="3">
      <c r="G3" s="3" t="inlineStr">
        <is>
          <t>OBJECTIVE  →  Total Suitability Score (MAXIMIZE)</t>
        </is>
      </c>
      <c r="K3" s="4" t="n"/>
      <c r="L3" s="5">
        <f>SUMPRODUCT(B6:E25,H6:K25)</f>
        <v/>
      </c>
    </row>
    <row r="4">
      <c r="A4" s="6" t="inlineStr">
        <is>
          <t>SUITABILITY SCORES (given data, 1–100)</t>
        </is>
      </c>
      <c r="B4" s="7" t="n"/>
      <c r="C4" s="7" t="n"/>
      <c r="D4" s="7" t="n"/>
      <c r="E4" s="8" t="n"/>
      <c r="G4" s="6" t="inlineStr">
        <is>
          <t>DECISION VARIABLES — Assignment  (1 = assigned, 0 = not)   [YELLOW = changing cells]</t>
        </is>
      </c>
      <c r="H4" s="7" t="n"/>
      <c r="I4" s="7" t="n"/>
      <c r="J4" s="7" t="n"/>
      <c r="K4" s="7" t="n"/>
      <c r="L4" s="8" t="n"/>
    </row>
    <row r="5">
      <c r="A5" s="9" t="inlineStr">
        <is>
          <t>Data Scientist</t>
        </is>
      </c>
      <c r="B5" s="9" t="inlineStr">
        <is>
          <t>P1</t>
        </is>
      </c>
      <c r="C5" s="9" t="inlineStr">
        <is>
          <t>P2</t>
        </is>
      </c>
      <c r="D5" s="9" t="inlineStr">
        <is>
          <t>P3</t>
        </is>
      </c>
      <c r="E5" s="9" t="inlineStr">
        <is>
          <t>P4</t>
        </is>
      </c>
      <c r="G5" s="9" t="inlineStr">
        <is>
          <t>Data Scientist</t>
        </is>
      </c>
      <c r="H5" s="9" t="inlineStr">
        <is>
          <t>P1</t>
        </is>
      </c>
      <c r="I5" s="9" t="inlineStr">
        <is>
          <t>P2</t>
        </is>
      </c>
      <c r="J5" s="9" t="inlineStr">
        <is>
          <t>P3</t>
        </is>
      </c>
      <c r="K5" s="9" t="inlineStr">
        <is>
          <t>P4</t>
        </is>
      </c>
      <c r="L5" s="9" t="inlineStr">
        <is>
          <t>Assigned (≤ 1)</t>
        </is>
      </c>
    </row>
    <row r="6">
      <c r="A6" s="10" t="inlineStr">
        <is>
          <t>DS1</t>
        </is>
      </c>
      <c r="B6" s="11" t="n">
        <v>62</v>
      </c>
      <c r="C6" s="11" t="n">
        <v>88</v>
      </c>
      <c r="D6" s="11" t="n">
        <v>94</v>
      </c>
      <c r="E6" s="11" t="n">
        <v>98</v>
      </c>
      <c r="G6" s="10" t="inlineStr">
        <is>
          <t>DS1</t>
        </is>
      </c>
      <c r="H6" s="12" t="n">
        <v>0</v>
      </c>
      <c r="I6" s="12" t="n">
        <v>0</v>
      </c>
      <c r="J6" s="12" t="n">
        <v>0</v>
      </c>
      <c r="K6" s="12" t="n">
        <v>1</v>
      </c>
      <c r="L6" s="13">
        <f>SUM(H6:K6)</f>
        <v/>
      </c>
    </row>
    <row r="7">
      <c r="A7" s="10" t="inlineStr">
        <is>
          <t>DS2</t>
        </is>
      </c>
      <c r="B7" s="11" t="n">
        <v>77</v>
      </c>
      <c r="C7" s="11" t="n">
        <v>79</v>
      </c>
      <c r="D7" s="11" t="n">
        <v>82</v>
      </c>
      <c r="E7" s="11" t="n">
        <v>93</v>
      </c>
      <c r="G7" s="10" t="inlineStr">
        <is>
          <t>DS2</t>
        </is>
      </c>
      <c r="H7" s="12" t="n">
        <v>0</v>
      </c>
      <c r="I7" s="12" t="n">
        <v>1</v>
      </c>
      <c r="J7" s="12" t="n">
        <v>0</v>
      </c>
      <c r="K7" s="12" t="n">
        <v>0</v>
      </c>
      <c r="L7" s="13">
        <f>SUM(H7:K7)</f>
        <v/>
      </c>
    </row>
    <row r="8">
      <c r="A8" s="10" t="inlineStr">
        <is>
          <t>DS3</t>
        </is>
      </c>
      <c r="B8" s="11" t="n">
        <v>92</v>
      </c>
      <c r="C8" s="11" t="n">
        <v>69</v>
      </c>
      <c r="D8" s="11" t="n">
        <v>92</v>
      </c>
      <c r="E8" s="11" t="n">
        <v>92</v>
      </c>
      <c r="G8" s="10" t="inlineStr">
        <is>
          <t>DS3</t>
        </is>
      </c>
      <c r="H8" s="12" t="n">
        <v>1</v>
      </c>
      <c r="I8" s="12" t="n">
        <v>0</v>
      </c>
      <c r="J8" s="12" t="n">
        <v>0</v>
      </c>
      <c r="K8" s="12" t="n">
        <v>0</v>
      </c>
      <c r="L8" s="13">
        <f>SUM(H8:K8)</f>
        <v/>
      </c>
    </row>
    <row r="9">
      <c r="A9" s="10" t="inlineStr">
        <is>
          <t>DS4</t>
        </is>
      </c>
      <c r="B9" s="11" t="n">
        <v>85</v>
      </c>
      <c r="C9" s="11" t="n">
        <v>79</v>
      </c>
      <c r="D9" s="11" t="n">
        <v>74</v>
      </c>
      <c r="E9" s="11" t="n">
        <v>96</v>
      </c>
      <c r="G9" s="10" t="inlineStr">
        <is>
          <t>DS4</t>
        </is>
      </c>
      <c r="H9" s="12" t="n">
        <v>0</v>
      </c>
      <c r="I9" s="12" t="n">
        <v>0</v>
      </c>
      <c r="J9" s="12" t="n">
        <v>0</v>
      </c>
      <c r="K9" s="12" t="n">
        <v>1</v>
      </c>
      <c r="L9" s="13">
        <f>SUM(H9:K9)</f>
        <v/>
      </c>
    </row>
    <row r="10">
      <c r="A10" s="10" t="inlineStr">
        <is>
          <t>DS5</t>
        </is>
      </c>
      <c r="B10" s="11" t="n">
        <v>92</v>
      </c>
      <c r="C10" s="11" t="n">
        <v>76</v>
      </c>
      <c r="D10" s="11" t="n">
        <v>64</v>
      </c>
      <c r="E10" s="11" t="n">
        <v>63</v>
      </c>
      <c r="G10" s="10" t="inlineStr">
        <is>
          <t>DS5</t>
        </is>
      </c>
      <c r="H10" s="12" t="n">
        <v>1</v>
      </c>
      <c r="I10" s="12" t="n">
        <v>0</v>
      </c>
      <c r="J10" s="12" t="n">
        <v>0</v>
      </c>
      <c r="K10" s="12" t="n">
        <v>0</v>
      </c>
      <c r="L10" s="13">
        <f>SUM(H10:K10)</f>
        <v/>
      </c>
    </row>
    <row r="11">
      <c r="A11" s="10" t="inlineStr">
        <is>
          <t>DS6</t>
        </is>
      </c>
      <c r="B11" s="11" t="n">
        <v>62</v>
      </c>
      <c r="C11" s="11" t="n">
        <v>80</v>
      </c>
      <c r="D11" s="11" t="n">
        <v>99</v>
      </c>
      <c r="E11" s="11" t="n">
        <v>62</v>
      </c>
      <c r="G11" s="10" t="inlineStr">
        <is>
          <t>DS6</t>
        </is>
      </c>
      <c r="H11" s="12" t="n">
        <v>0</v>
      </c>
      <c r="I11" s="12" t="n">
        <v>0</v>
      </c>
      <c r="J11" s="12" t="n">
        <v>1</v>
      </c>
      <c r="K11" s="12" t="n">
        <v>0</v>
      </c>
      <c r="L11" s="13">
        <f>SUM(H11:K11)</f>
        <v/>
      </c>
    </row>
    <row r="12">
      <c r="A12" s="10" t="inlineStr">
        <is>
          <t>DS7</t>
        </is>
      </c>
      <c r="B12" s="11" t="n">
        <v>80</v>
      </c>
      <c r="C12" s="11" t="n">
        <v>67</v>
      </c>
      <c r="D12" s="11" t="n">
        <v>95</v>
      </c>
      <c r="E12" s="11" t="n">
        <v>88</v>
      </c>
      <c r="G12" s="10" t="inlineStr">
        <is>
          <t>DS7</t>
        </is>
      </c>
      <c r="H12" s="12" t="n">
        <v>0</v>
      </c>
      <c r="I12" s="12" t="n">
        <v>0</v>
      </c>
      <c r="J12" s="12" t="n">
        <v>1</v>
      </c>
      <c r="K12" s="12" t="n">
        <v>0</v>
      </c>
      <c r="L12" s="13">
        <f>SUM(H12:K12)</f>
        <v/>
      </c>
    </row>
    <row r="13">
      <c r="A13" s="10" t="inlineStr">
        <is>
          <t>DS8</t>
        </is>
      </c>
      <c r="B13" s="11" t="n">
        <v>98</v>
      </c>
      <c r="C13" s="11" t="n">
        <v>93</v>
      </c>
      <c r="D13" s="11" t="n">
        <v>81</v>
      </c>
      <c r="E13" s="11" t="n">
        <v>90</v>
      </c>
      <c r="G13" s="10" t="inlineStr">
        <is>
          <t>DS8</t>
        </is>
      </c>
      <c r="H13" s="12" t="n">
        <v>1</v>
      </c>
      <c r="I13" s="12" t="n">
        <v>0</v>
      </c>
      <c r="J13" s="12" t="n">
        <v>0</v>
      </c>
      <c r="K13" s="12" t="n">
        <v>0</v>
      </c>
      <c r="L13" s="13">
        <f>SUM(H13:K13)</f>
        <v/>
      </c>
    </row>
    <row r="14">
      <c r="A14" s="10" t="inlineStr">
        <is>
          <t>DS9</t>
        </is>
      </c>
      <c r="B14" s="11" t="n">
        <v>87</v>
      </c>
      <c r="C14" s="11" t="n">
        <v>94</v>
      </c>
      <c r="D14" s="11" t="n">
        <v>93</v>
      </c>
      <c r="E14" s="11" t="n">
        <v>72</v>
      </c>
      <c r="G14" s="10" t="inlineStr">
        <is>
          <t>DS9</t>
        </is>
      </c>
      <c r="H14" s="12" t="n">
        <v>0</v>
      </c>
      <c r="I14" s="12" t="n">
        <v>1</v>
      </c>
      <c r="J14" s="12" t="n">
        <v>0</v>
      </c>
      <c r="K14" s="12" t="n">
        <v>0</v>
      </c>
      <c r="L14" s="13">
        <f>SUM(H14:K14)</f>
        <v/>
      </c>
    </row>
    <row r="15">
      <c r="A15" s="10" t="inlineStr">
        <is>
          <t>DS10</t>
        </is>
      </c>
      <c r="B15" s="11" t="n">
        <v>100</v>
      </c>
      <c r="C15" s="11" t="n">
        <v>63</v>
      </c>
      <c r="D15" s="11" t="n">
        <v>65</v>
      </c>
      <c r="E15" s="11" t="n">
        <v>60</v>
      </c>
      <c r="G15" s="10" t="inlineStr">
        <is>
          <t>DS10</t>
        </is>
      </c>
      <c r="H15" s="12" t="n">
        <v>1</v>
      </c>
      <c r="I15" s="12" t="n">
        <v>0</v>
      </c>
      <c r="J15" s="12" t="n">
        <v>0</v>
      </c>
      <c r="K15" s="12" t="n">
        <v>0</v>
      </c>
      <c r="L15" s="13">
        <f>SUM(H15:K15)</f>
        <v/>
      </c>
    </row>
    <row r="16">
      <c r="A16" s="10" t="inlineStr">
        <is>
          <t>DS11</t>
        </is>
      </c>
      <c r="B16" s="11" t="n">
        <v>71</v>
      </c>
      <c r="C16" s="11" t="n">
        <v>94</v>
      </c>
      <c r="D16" s="11" t="n">
        <v>70</v>
      </c>
      <c r="E16" s="11" t="n">
        <v>82</v>
      </c>
      <c r="G16" s="10" t="inlineStr">
        <is>
          <t>DS11</t>
        </is>
      </c>
      <c r="H16" s="12" t="n">
        <v>0</v>
      </c>
      <c r="I16" s="12" t="n">
        <v>1</v>
      </c>
      <c r="J16" s="12" t="n">
        <v>0</v>
      </c>
      <c r="K16" s="12" t="n">
        <v>0</v>
      </c>
      <c r="L16" s="13">
        <f>SUM(H16:K16)</f>
        <v/>
      </c>
    </row>
    <row r="17">
      <c r="A17" s="10" t="inlineStr">
        <is>
          <t>DS12</t>
        </is>
      </c>
      <c r="B17" s="11" t="n">
        <v>73</v>
      </c>
      <c r="C17" s="11" t="n">
        <v>78</v>
      </c>
      <c r="D17" s="11" t="n">
        <v>96</v>
      </c>
      <c r="E17" s="11" t="n">
        <v>75</v>
      </c>
      <c r="G17" s="10" t="inlineStr">
        <is>
          <t>DS12</t>
        </is>
      </c>
      <c r="H17" s="12" t="n">
        <v>0</v>
      </c>
      <c r="I17" s="12" t="n">
        <v>0</v>
      </c>
      <c r="J17" s="12" t="n">
        <v>1</v>
      </c>
      <c r="K17" s="12" t="n">
        <v>0</v>
      </c>
      <c r="L17" s="13">
        <f>SUM(H17:K17)</f>
        <v/>
      </c>
    </row>
    <row r="18">
      <c r="A18" s="10" t="inlineStr">
        <is>
          <t>DS13</t>
        </is>
      </c>
      <c r="B18" s="11" t="n">
        <v>87</v>
      </c>
      <c r="C18" s="11" t="n">
        <v>90</v>
      </c>
      <c r="D18" s="11" t="n">
        <v>66</v>
      </c>
      <c r="E18" s="11" t="n">
        <v>86</v>
      </c>
      <c r="G18" s="10" t="inlineStr">
        <is>
          <t>DS13</t>
        </is>
      </c>
      <c r="H18" s="12" t="n">
        <v>0</v>
      </c>
      <c r="I18" s="12" t="n">
        <v>1</v>
      </c>
      <c r="J18" s="12" t="n">
        <v>0</v>
      </c>
      <c r="K18" s="12" t="n">
        <v>0</v>
      </c>
      <c r="L18" s="13">
        <f>SUM(H18:K18)</f>
        <v/>
      </c>
    </row>
    <row r="19">
      <c r="A19" s="10" t="inlineStr">
        <is>
          <t>DS14</t>
        </is>
      </c>
      <c r="B19" s="11" t="n">
        <v>76</v>
      </c>
      <c r="C19" s="11" t="n">
        <v>66</v>
      </c>
      <c r="D19" s="11" t="n">
        <v>74</v>
      </c>
      <c r="E19" s="11" t="n">
        <v>99</v>
      </c>
      <c r="G19" s="10" t="inlineStr">
        <is>
          <t>DS14</t>
        </is>
      </c>
      <c r="H19" s="12" t="n">
        <v>0</v>
      </c>
      <c r="I19" s="12" t="n">
        <v>0</v>
      </c>
      <c r="J19" s="12" t="n">
        <v>0</v>
      </c>
      <c r="K19" s="12" t="n">
        <v>1</v>
      </c>
      <c r="L19" s="13">
        <f>SUM(H19:K19)</f>
        <v/>
      </c>
    </row>
    <row r="20">
      <c r="A20" s="10" t="inlineStr">
        <is>
          <t>DS15</t>
        </is>
      </c>
      <c r="B20" s="11" t="n">
        <v>71</v>
      </c>
      <c r="C20" s="11" t="n">
        <v>67</v>
      </c>
      <c r="D20" s="11" t="n">
        <v>61</v>
      </c>
      <c r="E20" s="11" t="n">
        <v>97</v>
      </c>
      <c r="G20" s="10" t="inlineStr">
        <is>
          <t>DS15</t>
        </is>
      </c>
      <c r="H20" s="12" t="n">
        <v>0</v>
      </c>
      <c r="I20" s="12" t="n">
        <v>0</v>
      </c>
      <c r="J20" s="12" t="n">
        <v>0</v>
      </c>
      <c r="K20" s="12" t="n">
        <v>1</v>
      </c>
      <c r="L20" s="13">
        <f>SUM(H20:K20)</f>
        <v/>
      </c>
    </row>
    <row r="21">
      <c r="A21" s="10" t="inlineStr">
        <is>
          <t>DS16</t>
        </is>
      </c>
      <c r="B21" s="11" t="n">
        <v>85</v>
      </c>
      <c r="C21" s="11" t="n">
        <v>80</v>
      </c>
      <c r="D21" s="11" t="n">
        <v>72</v>
      </c>
      <c r="E21" s="11" t="n">
        <v>78</v>
      </c>
      <c r="G21" s="10" t="inlineStr">
        <is>
          <t>DS16</t>
        </is>
      </c>
      <c r="H21" s="12" t="n">
        <v>1</v>
      </c>
      <c r="I21" s="12" t="n">
        <v>0</v>
      </c>
      <c r="J21" s="12" t="n">
        <v>0</v>
      </c>
      <c r="K21" s="12" t="n">
        <v>0</v>
      </c>
      <c r="L21" s="13">
        <f>SUM(H21:K21)</f>
        <v/>
      </c>
    </row>
    <row r="22">
      <c r="A22" s="10" t="inlineStr">
        <is>
          <t>DS17</t>
        </is>
      </c>
      <c r="B22" s="11" t="n">
        <v>77</v>
      </c>
      <c r="C22" s="11" t="n">
        <v>61</v>
      </c>
      <c r="D22" s="11" t="n">
        <v>87</v>
      </c>
      <c r="E22" s="11" t="n">
        <v>82</v>
      </c>
      <c r="G22" s="10" t="inlineStr">
        <is>
          <t>DS17</t>
        </is>
      </c>
      <c r="H22" s="12" t="n">
        <v>0</v>
      </c>
      <c r="I22" s="12" t="n">
        <v>0</v>
      </c>
      <c r="J22" s="12" t="n">
        <v>1</v>
      </c>
      <c r="K22" s="12" t="n">
        <v>0</v>
      </c>
      <c r="L22" s="13">
        <f>SUM(H22:K22)</f>
        <v/>
      </c>
    </row>
    <row r="23">
      <c r="A23" s="10" t="inlineStr">
        <is>
          <t>DS18</t>
        </is>
      </c>
      <c r="B23" s="11" t="n">
        <v>63</v>
      </c>
      <c r="C23" s="11" t="n">
        <v>63</v>
      </c>
      <c r="D23" s="11" t="n">
        <v>71</v>
      </c>
      <c r="E23" s="11" t="n">
        <v>81</v>
      </c>
      <c r="G23" s="10" t="inlineStr">
        <is>
          <t>DS18</t>
        </is>
      </c>
      <c r="H23" s="12" t="n">
        <v>0</v>
      </c>
      <c r="I23" s="12" t="n">
        <v>0</v>
      </c>
      <c r="J23" s="12" t="n">
        <v>0</v>
      </c>
      <c r="K23" s="12" t="n">
        <v>1</v>
      </c>
      <c r="L23" s="13">
        <f>SUM(H23:K23)</f>
        <v/>
      </c>
    </row>
    <row r="24">
      <c r="A24" s="10" t="inlineStr">
        <is>
          <t>DS19</t>
        </is>
      </c>
      <c r="B24" s="11" t="n">
        <v>85</v>
      </c>
      <c r="C24" s="11" t="n">
        <v>99</v>
      </c>
      <c r="D24" s="11" t="n">
        <v>94</v>
      </c>
      <c r="E24" s="11" t="n">
        <v>63</v>
      </c>
      <c r="G24" s="10" t="inlineStr">
        <is>
          <t>DS19</t>
        </is>
      </c>
      <c r="H24" s="12" t="n">
        <v>0</v>
      </c>
      <c r="I24" s="12" t="n">
        <v>1</v>
      </c>
      <c r="J24" s="12" t="n">
        <v>0</v>
      </c>
      <c r="K24" s="12" t="n">
        <v>0</v>
      </c>
      <c r="L24" s="13">
        <f>SUM(H24:K24)</f>
        <v/>
      </c>
    </row>
    <row r="25">
      <c r="A25" s="10" t="inlineStr">
        <is>
          <t>DS20</t>
        </is>
      </c>
      <c r="B25" s="11" t="n">
        <v>71</v>
      </c>
      <c r="C25" s="11" t="n">
        <v>63</v>
      </c>
      <c r="D25" s="11" t="n">
        <v>90</v>
      </c>
      <c r="E25" s="11" t="n">
        <v>66</v>
      </c>
      <c r="G25" s="10" t="inlineStr">
        <is>
          <t>DS20</t>
        </is>
      </c>
      <c r="H25" s="12" t="n">
        <v>0</v>
      </c>
      <c r="I25" s="12" t="n">
        <v>0</v>
      </c>
      <c r="J25" s="12" t="n">
        <v>1</v>
      </c>
      <c r="K25" s="12" t="n">
        <v>0</v>
      </c>
      <c r="L25" s="13">
        <f>SUM(H25:K25)</f>
        <v/>
      </c>
    </row>
    <row r="26">
      <c r="G26" s="3" t="inlineStr">
        <is>
          <t>Team size (actual)</t>
        </is>
      </c>
      <c r="H26" s="14">
        <f>SUM(H6:H25)</f>
        <v/>
      </c>
      <c r="I26" s="14">
        <f>SUM(I6:I25)</f>
        <v/>
      </c>
      <c r="J26" s="14">
        <f>SUM(J6:J25)</f>
        <v/>
      </c>
      <c r="K26" s="14">
        <f>SUM(K6:K25)</f>
        <v/>
      </c>
      <c r="L26" s="15" t="inlineStr">
        <is>
          <t>← must each = 5</t>
        </is>
      </c>
    </row>
    <row r="27">
      <c r="G27" s="10" t="inlineStr">
        <is>
          <t>Required (=)</t>
        </is>
      </c>
      <c r="H27" s="16" t="n">
        <v>5</v>
      </c>
      <c r="I27" s="16" t="n">
        <v>5</v>
      </c>
      <c r="J27" s="16" t="n">
        <v>5</v>
      </c>
      <c r="K27" s="16" t="n">
        <v>5</v>
      </c>
      <c r="L27" s="15" t="inlineStr">
        <is>
          <t>RHS for Solver</t>
        </is>
      </c>
    </row>
    <row r="29">
      <c r="A29" s="6" t="inlineStr">
        <is>
          <t>DS2 &amp; DS4 CANNOT share a project — per-project check  x(DS2,Pj) + x(DS4,Pj)  ≤ 1</t>
        </is>
      </c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8" t="n"/>
    </row>
    <row r="30">
      <c r="G30" s="10" t="inlineStr">
        <is>
          <t>DS2+DS4 in project</t>
        </is>
      </c>
      <c r="H30" s="14">
        <f>H7+H9</f>
        <v/>
      </c>
      <c r="I30" s="14">
        <f>I7+I9</f>
        <v/>
      </c>
      <c r="J30" s="14">
        <f>J7+J9</f>
        <v/>
      </c>
      <c r="K30" s="14">
        <f>K7+K9</f>
        <v/>
      </c>
      <c r="L30" s="15" t="inlineStr">
        <is>
          <t>← each ≤ 1</t>
        </is>
      </c>
    </row>
    <row r="31">
      <c r="G31" s="10" t="inlineStr">
        <is>
          <t>Limit (≤)</t>
        </is>
      </c>
      <c r="H31" s="16" t="n">
        <v>1</v>
      </c>
      <c r="I31" s="16" t="n">
        <v>1</v>
      </c>
      <c r="J31" s="16" t="n">
        <v>1</v>
      </c>
      <c r="K31" s="16" t="n">
        <v>1</v>
      </c>
    </row>
    <row r="33">
      <c r="A33" s="17" t="inlineStr">
        <is>
          <t>CONSTRAINTS (enter these in Solver)</t>
        </is>
      </c>
    </row>
    <row r="34">
      <c r="A34" s="9" t="inlineStr">
        <is>
          <t>Constraint</t>
        </is>
      </c>
      <c r="B34" s="8" t="n"/>
      <c r="C34" s="9" t="inlineStr">
        <is>
          <t>Solver entry</t>
        </is>
      </c>
      <c r="D34" s="7" t="n"/>
      <c r="E34" s="7" t="n"/>
      <c r="F34" s="8" t="n"/>
      <c r="G34" s="9" t="inlineStr">
        <is>
          <t>Meaning</t>
        </is>
      </c>
      <c r="H34" s="7" t="n"/>
      <c r="I34" s="7" t="n"/>
      <c r="J34" s="7" t="n"/>
      <c r="K34" s="7" t="n"/>
      <c r="L34" s="8" t="n"/>
    </row>
    <row r="35">
      <c r="A35" s="18" t="inlineStr">
        <is>
          <t>1. Team size</t>
        </is>
      </c>
      <c r="C35" s="19" t="inlineStr">
        <is>
          <t>$H$26:$K$26  =  $H$27:$K$27</t>
        </is>
      </c>
      <c r="G35" s="20" t="inlineStr">
        <is>
          <t>Each project staffed with exactly 5 data scientists (= 5).</t>
        </is>
      </c>
    </row>
    <row r="36">
      <c r="A36" s="18" t="inlineStr">
        <is>
          <t>2. One project each</t>
        </is>
      </c>
      <c r="C36" s="19" t="inlineStr">
        <is>
          <t>$L$6:$L$25  &lt;=  1</t>
        </is>
      </c>
      <c r="G36" s="20" t="inlineStr">
        <is>
          <t>Each data scientist assigned to at most 1 project.</t>
        </is>
      </c>
    </row>
    <row r="37">
      <c r="A37" s="18" t="inlineStr">
        <is>
          <t>3. DS2/DS4 clash</t>
        </is>
      </c>
      <c r="C37" s="19" t="inlineStr">
        <is>
          <t>$H$30:$K$30  &lt;=  $H$31:$K$31</t>
        </is>
      </c>
      <c r="G37" s="20" t="inlineStr">
        <is>
          <t>DS2 and DS4 never in the same project (each ≤ 1).</t>
        </is>
      </c>
    </row>
    <row r="38">
      <c r="A38" s="18" t="inlineStr">
        <is>
          <t>4. Binary</t>
        </is>
      </c>
      <c r="C38" s="19" t="inlineStr">
        <is>
          <t>$H$6:$K$25  =  binary</t>
        </is>
      </c>
      <c r="G38" s="20" t="inlineStr">
        <is>
          <t>Every decision cell is 0 or 1.</t>
        </is>
      </c>
    </row>
    <row r="40">
      <c r="A40" s="17" t="inlineStr">
        <is>
          <t>SOLVER SETUP (Data → Solver)</t>
        </is>
      </c>
    </row>
    <row r="41">
      <c r="A41" s="18" t="inlineStr">
        <is>
          <t>Set Objective:</t>
        </is>
      </c>
      <c r="C41" s="19" t="inlineStr">
        <is>
          <t>$L$3</t>
        </is>
      </c>
      <c r="I41" s="15" t="inlineStr">
        <is>
          <t>To: Max</t>
        </is>
      </c>
    </row>
    <row r="42">
      <c r="A42" s="18" t="inlineStr">
        <is>
          <t>By Changing Variable Cells:</t>
        </is>
      </c>
      <c r="C42" s="19" t="inlineStr">
        <is>
          <t>$H$6:$K$25</t>
        </is>
      </c>
      <c r="I42" s="15" t="inlineStr">
        <is>
          <t>(the 80 yellow binary cells)</t>
        </is>
      </c>
    </row>
    <row r="43">
      <c r="A43" s="18" t="inlineStr">
        <is>
          <t>Subject to the Constraints:</t>
        </is>
      </c>
      <c r="C43" s="19" t="inlineStr">
        <is>
          <t>$H$26:$K$26 = $H$27:$K$27 ; $L$6:$L$25 &lt;= 1 ; $H$30:$K$30 &lt;= $H$31:$K$31 ; $H$6:$K$25 = binary</t>
        </is>
      </c>
      <c r="I43" s="15" t="inlineStr"/>
    </row>
    <row r="44">
      <c r="A44" s="18" t="inlineStr">
        <is>
          <t>Solving Method:</t>
        </is>
      </c>
      <c r="C44" s="19" t="inlineStr">
        <is>
          <t>Simplex LP</t>
        </is>
      </c>
      <c r="I44" s="15" t="inlineStr">
        <is>
          <t>Model is linear → Simplex LP with binary vars guarantees the GLOBAL optimum.</t>
        </is>
      </c>
    </row>
    <row r="45">
      <c r="A45" s="18" t="inlineStr">
        <is>
          <t>Options:</t>
        </is>
      </c>
      <c r="C45" s="19" t="inlineStr">
        <is>
          <t>Check 'Make Unconstrained Variables Non-Negative'</t>
        </is>
      </c>
      <c r="I45" s="15" t="inlineStr">
        <is>
          <t>Integer optimality (gap) = 0% for a proven global optimum.</t>
        </is>
      </c>
    </row>
    <row r="47">
      <c r="A47" s="21" t="inlineStr">
        <is>
          <t>GLOBAL OPTIMUM (solution shown above): Total Suitability = 1861.  P1: DS3, DS5, DS8, DS10, DS16 (467)  |  P2: DS2, DS9, DS11, DS13, DS19 (456)  |  P3: DS6, DS7, DS12, DS17, DS20 (467)  |  P4: DS1, DS4, DS14, DS15, DS18 (471).</t>
        </is>
      </c>
    </row>
    <row r="48">
      <c r="A48" s="22" t="inlineStr">
        <is>
          <t>Note: All 20 scientists are assigned (4 projects × 5 = 20 slots). The DS2/DS4 clash rule is binding — it lowers the optimum from 1865 (unrestricted) to 1861; here DS2→P2 and DS4→P4.</t>
        </is>
      </c>
    </row>
  </sheetData>
  <mergeCells count="39">
    <mergeCell ref="C41:H41"/>
    <mergeCell ref="G37:L37"/>
    <mergeCell ref="C44:H44"/>
    <mergeCell ref="I44:L44"/>
    <mergeCell ref="G38:L38"/>
    <mergeCell ref="I42:L42"/>
    <mergeCell ref="A45:B45"/>
    <mergeCell ref="C38:F38"/>
    <mergeCell ref="A36:B36"/>
    <mergeCell ref="C43:H43"/>
    <mergeCell ref="G34:L34"/>
    <mergeCell ref="C37:F37"/>
    <mergeCell ref="A2:L2"/>
    <mergeCell ref="K3"/>
    <mergeCell ref="A41:B41"/>
    <mergeCell ref="C34:F34"/>
    <mergeCell ref="A47:L47"/>
    <mergeCell ref="A37:B37"/>
    <mergeCell ref="G35:L35"/>
    <mergeCell ref="G4:L4"/>
    <mergeCell ref="I45:L45"/>
    <mergeCell ref="A29:L29"/>
    <mergeCell ref="C35:F35"/>
    <mergeCell ref="A42:B42"/>
    <mergeCell ref="I41:L41"/>
    <mergeCell ref="A35:B35"/>
    <mergeCell ref="A48:L48"/>
    <mergeCell ref="A38:B38"/>
    <mergeCell ref="A4:E4"/>
    <mergeCell ref="C42:H42"/>
    <mergeCell ref="G3:J3"/>
    <mergeCell ref="G36:L36"/>
    <mergeCell ref="A43:B43"/>
    <mergeCell ref="A1:L1"/>
    <mergeCell ref="I43:L43"/>
    <mergeCell ref="C45:H45"/>
    <mergeCell ref="A44:B44"/>
    <mergeCell ref="C36:F36"/>
    <mergeCell ref="A34:B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2026-07-01T15:16:13Z</dcterms:created>
  <dcterms:modified xsi:type="dcterms:W3CDTF">2026-07-01T15:16:13Z</dcterms:modified>
</cp:coreProperties>
</file>