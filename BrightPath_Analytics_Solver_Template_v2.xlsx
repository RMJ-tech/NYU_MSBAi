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ightPath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555555"/>
      <sz val="10"/>
    </font>
    <font>
      <b val="1"/>
    </font>
    <font>
      <b val="1"/>
      <sz val="12"/>
    </font>
    <font>
      <b val="1"/>
      <color rgb="00FFFFFF"/>
      <sz val="11"/>
    </font>
    <font>
      <b val="1"/>
      <color rgb="001F4E78"/>
      <sz val="12"/>
    </font>
    <font>
      <name val="Consolas"/>
      <sz val="10"/>
    </font>
  </fonts>
  <fills count="9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FC000"/>
      </patternFill>
    </fill>
    <fill>
      <patternFill patternType="solid">
        <fgColor rgb="001F4E78"/>
      </patternFill>
    </fill>
    <fill>
      <patternFill patternType="solid">
        <fgColor rgb="00FFFF00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2" borderId="1" pivotButton="0" quotePrefix="0" xfId="0"/>
    <xf numFmtId="0" fontId="3" fillId="6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6" customWidth="1" min="3" max="3"/>
    <col width="6" customWidth="1" min="4" max="4"/>
    <col width="6" customWidth="1" min="5" max="5"/>
    <col width="4" customWidth="1" min="6" max="6"/>
    <col width="26" customWidth="1" min="7" max="7"/>
    <col width="8" customWidth="1" min="8" max="8"/>
    <col width="8" customWidth="1" min="9" max="9"/>
    <col width="8" customWidth="1" min="10" max="10"/>
    <col width="8" customWidth="1" min="11" max="11"/>
    <col width="16" customWidth="1" min="12" max="12"/>
    <col width="10" customWidth="1" min="13" max="13"/>
    <col width="12" customWidth="1" min="14" max="14"/>
  </cols>
  <sheetData>
    <row r="1">
      <c r="A1" s="1" t="inlineStr">
        <is>
          <t>BrightPath Analytics — Data-Scientist Assignment (Solver Model, constraint-separated format)</t>
        </is>
      </c>
    </row>
    <row r="2">
      <c r="A2" s="2" t="inlineStr">
        <is>
          <t>Orange = Objective.  Yellow = changing cells (decisions).  Blue = constraint LHS (formula cells).  Peach = RHS limits.</t>
        </is>
      </c>
      <c r="H2" s="3" t="inlineStr">
        <is>
          <t>OBJECTIVE → Total Suitability (MAX)</t>
        </is>
      </c>
      <c r="K2" s="4">
        <f>SUMPRODUCT(B6:E25,H6:K25)</f>
        <v/>
      </c>
    </row>
    <row r="4">
      <c r="A4" s="5" t="inlineStr">
        <is>
          <t>SUITABILITY SCORES (given, 1-100)</t>
        </is>
      </c>
      <c r="B4" s="6" t="n"/>
      <c r="C4" s="6" t="n"/>
      <c r="D4" s="6" t="n"/>
      <c r="E4" s="7" t="n"/>
      <c r="G4" s="5" t="inlineStr">
        <is>
          <t>DECISION VARIABLES (1=assigned)   [YELLOW]</t>
        </is>
      </c>
      <c r="H4" s="6" t="n"/>
      <c r="I4" s="6" t="n"/>
      <c r="J4" s="6" t="n"/>
      <c r="K4" s="7" t="n"/>
      <c r="L4" s="3" t="inlineStr">
        <is>
          <t>1-project rule</t>
        </is>
      </c>
      <c r="M4" s="6" t="n"/>
      <c r="N4" s="7" t="n"/>
    </row>
    <row r="5" ht="30" customHeight="1">
      <c r="A5" s="8" t="inlineStr">
        <is>
          <t>Data Scientist</t>
        </is>
      </c>
      <c r="B5" s="8" t="inlineStr">
        <is>
          <t>P1</t>
        </is>
      </c>
      <c r="C5" s="8" t="inlineStr">
        <is>
          <t>P2</t>
        </is>
      </c>
      <c r="D5" s="8" t="inlineStr">
        <is>
          <t>P3</t>
        </is>
      </c>
      <c r="E5" s="8" t="inlineStr">
        <is>
          <t>P4</t>
        </is>
      </c>
      <c r="G5" s="8" t="inlineStr">
        <is>
          <t>Data Scientist</t>
        </is>
      </c>
      <c r="H5" s="8" t="inlineStr">
        <is>
          <t>P1</t>
        </is>
      </c>
      <c r="I5" s="8" t="inlineStr">
        <is>
          <t>P2</t>
        </is>
      </c>
      <c r="J5" s="8" t="inlineStr">
        <is>
          <t>P3</t>
        </is>
      </c>
      <c r="K5" s="8" t="inlineStr">
        <is>
          <t>P4</t>
        </is>
      </c>
      <c r="L5" s="9" t="inlineStr">
        <is>
          <t>Assigned  (LHS =SUM)</t>
        </is>
      </c>
      <c r="M5" s="8" t="inlineStr">
        <is>
          <t>sign</t>
        </is>
      </c>
      <c r="N5" s="9" t="inlineStr">
        <is>
          <t>Limit (RHS)</t>
        </is>
      </c>
    </row>
    <row r="6">
      <c r="A6" s="10" t="inlineStr">
        <is>
          <t>DS1</t>
        </is>
      </c>
      <c r="B6" s="11" t="n">
        <v>62</v>
      </c>
      <c r="C6" s="11" t="n">
        <v>88</v>
      </c>
      <c r="D6" s="11" t="n">
        <v>94</v>
      </c>
      <c r="E6" s="11" t="n">
        <v>98</v>
      </c>
      <c r="G6" s="10" t="inlineStr">
        <is>
          <t>DS1</t>
        </is>
      </c>
      <c r="H6" s="12" t="n">
        <v>0</v>
      </c>
      <c r="I6" s="12" t="n">
        <v>0</v>
      </c>
      <c r="J6" s="12" t="n">
        <v>0</v>
      </c>
      <c r="K6" s="12" t="n">
        <v>1</v>
      </c>
      <c r="L6" s="13">
        <f>SUM(H6:K6)</f>
        <v/>
      </c>
      <c r="M6" s="14" t="inlineStr">
        <is>
          <t>&lt;=</t>
        </is>
      </c>
      <c r="N6" s="15" t="n">
        <v>1</v>
      </c>
    </row>
    <row r="7">
      <c r="A7" s="10" t="inlineStr">
        <is>
          <t>DS2</t>
        </is>
      </c>
      <c r="B7" s="11" t="n">
        <v>77</v>
      </c>
      <c r="C7" s="11" t="n">
        <v>79</v>
      </c>
      <c r="D7" s="11" t="n">
        <v>82</v>
      </c>
      <c r="E7" s="11" t="n">
        <v>93</v>
      </c>
      <c r="G7" s="10" t="inlineStr">
        <is>
          <t>DS2</t>
        </is>
      </c>
      <c r="H7" s="12" t="n">
        <v>0</v>
      </c>
      <c r="I7" s="12" t="n">
        <v>1</v>
      </c>
      <c r="J7" s="12" t="n">
        <v>0</v>
      </c>
      <c r="K7" s="12" t="n">
        <v>0</v>
      </c>
      <c r="L7" s="13">
        <f>SUM(H7:K7)</f>
        <v/>
      </c>
      <c r="M7" s="14" t="inlineStr">
        <is>
          <t>&lt;=</t>
        </is>
      </c>
      <c r="N7" s="15" t="n">
        <v>1</v>
      </c>
    </row>
    <row r="8">
      <c r="A8" s="10" t="inlineStr">
        <is>
          <t>DS3</t>
        </is>
      </c>
      <c r="B8" s="11" t="n">
        <v>92</v>
      </c>
      <c r="C8" s="11" t="n">
        <v>69</v>
      </c>
      <c r="D8" s="11" t="n">
        <v>92</v>
      </c>
      <c r="E8" s="11" t="n">
        <v>92</v>
      </c>
      <c r="G8" s="10" t="inlineStr">
        <is>
          <t>DS3</t>
        </is>
      </c>
      <c r="H8" s="12" t="n">
        <v>1</v>
      </c>
      <c r="I8" s="12" t="n">
        <v>0</v>
      </c>
      <c r="J8" s="12" t="n">
        <v>0</v>
      </c>
      <c r="K8" s="12" t="n">
        <v>0</v>
      </c>
      <c r="L8" s="13">
        <f>SUM(H8:K8)</f>
        <v/>
      </c>
      <c r="M8" s="14" t="inlineStr">
        <is>
          <t>&lt;=</t>
        </is>
      </c>
      <c r="N8" s="15" t="n">
        <v>1</v>
      </c>
    </row>
    <row r="9">
      <c r="A9" s="10" t="inlineStr">
        <is>
          <t>DS4</t>
        </is>
      </c>
      <c r="B9" s="11" t="n">
        <v>85</v>
      </c>
      <c r="C9" s="11" t="n">
        <v>79</v>
      </c>
      <c r="D9" s="11" t="n">
        <v>74</v>
      </c>
      <c r="E9" s="11" t="n">
        <v>96</v>
      </c>
      <c r="G9" s="10" t="inlineStr">
        <is>
          <t>DS4</t>
        </is>
      </c>
      <c r="H9" s="12" t="n">
        <v>0</v>
      </c>
      <c r="I9" s="12" t="n">
        <v>0</v>
      </c>
      <c r="J9" s="12" t="n">
        <v>0</v>
      </c>
      <c r="K9" s="12" t="n">
        <v>1</v>
      </c>
      <c r="L9" s="13">
        <f>SUM(H9:K9)</f>
        <v/>
      </c>
      <c r="M9" s="14" t="inlineStr">
        <is>
          <t>&lt;=</t>
        </is>
      </c>
      <c r="N9" s="15" t="n">
        <v>1</v>
      </c>
    </row>
    <row r="10">
      <c r="A10" s="10" t="inlineStr">
        <is>
          <t>DS5</t>
        </is>
      </c>
      <c r="B10" s="11" t="n">
        <v>92</v>
      </c>
      <c r="C10" s="11" t="n">
        <v>76</v>
      </c>
      <c r="D10" s="11" t="n">
        <v>64</v>
      </c>
      <c r="E10" s="11" t="n">
        <v>63</v>
      </c>
      <c r="G10" s="10" t="inlineStr">
        <is>
          <t>DS5</t>
        </is>
      </c>
      <c r="H10" s="12" t="n">
        <v>1</v>
      </c>
      <c r="I10" s="12" t="n">
        <v>0</v>
      </c>
      <c r="J10" s="12" t="n">
        <v>0</v>
      </c>
      <c r="K10" s="12" t="n">
        <v>0</v>
      </c>
      <c r="L10" s="13">
        <f>SUM(H10:K10)</f>
        <v/>
      </c>
      <c r="M10" s="14" t="inlineStr">
        <is>
          <t>&lt;=</t>
        </is>
      </c>
      <c r="N10" s="15" t="n">
        <v>1</v>
      </c>
    </row>
    <row r="11">
      <c r="A11" s="10" t="inlineStr">
        <is>
          <t>DS6</t>
        </is>
      </c>
      <c r="B11" s="11" t="n">
        <v>62</v>
      </c>
      <c r="C11" s="11" t="n">
        <v>80</v>
      </c>
      <c r="D11" s="11" t="n">
        <v>99</v>
      </c>
      <c r="E11" s="11" t="n">
        <v>62</v>
      </c>
      <c r="G11" s="10" t="inlineStr">
        <is>
          <t>DS6</t>
        </is>
      </c>
      <c r="H11" s="12" t="n">
        <v>0</v>
      </c>
      <c r="I11" s="12" t="n">
        <v>0</v>
      </c>
      <c r="J11" s="12" t="n">
        <v>1</v>
      </c>
      <c r="K11" s="12" t="n">
        <v>0</v>
      </c>
      <c r="L11" s="13">
        <f>SUM(H11:K11)</f>
        <v/>
      </c>
      <c r="M11" s="14" t="inlineStr">
        <is>
          <t>&lt;=</t>
        </is>
      </c>
      <c r="N11" s="15" t="n">
        <v>1</v>
      </c>
    </row>
    <row r="12">
      <c r="A12" s="10" t="inlineStr">
        <is>
          <t>DS7</t>
        </is>
      </c>
      <c r="B12" s="11" t="n">
        <v>80</v>
      </c>
      <c r="C12" s="11" t="n">
        <v>67</v>
      </c>
      <c r="D12" s="11" t="n">
        <v>95</v>
      </c>
      <c r="E12" s="11" t="n">
        <v>88</v>
      </c>
      <c r="G12" s="10" t="inlineStr">
        <is>
          <t>DS7</t>
        </is>
      </c>
      <c r="H12" s="12" t="n">
        <v>0</v>
      </c>
      <c r="I12" s="12" t="n">
        <v>0</v>
      </c>
      <c r="J12" s="12" t="n">
        <v>1</v>
      </c>
      <c r="K12" s="12" t="n">
        <v>0</v>
      </c>
      <c r="L12" s="13">
        <f>SUM(H12:K12)</f>
        <v/>
      </c>
      <c r="M12" s="14" t="inlineStr">
        <is>
          <t>&lt;=</t>
        </is>
      </c>
      <c r="N12" s="15" t="n">
        <v>1</v>
      </c>
    </row>
    <row r="13">
      <c r="A13" s="10" t="inlineStr">
        <is>
          <t>DS8</t>
        </is>
      </c>
      <c r="B13" s="11" t="n">
        <v>98</v>
      </c>
      <c r="C13" s="11" t="n">
        <v>93</v>
      </c>
      <c r="D13" s="11" t="n">
        <v>81</v>
      </c>
      <c r="E13" s="11" t="n">
        <v>90</v>
      </c>
      <c r="G13" s="10" t="inlineStr">
        <is>
          <t>DS8</t>
        </is>
      </c>
      <c r="H13" s="12" t="n">
        <v>1</v>
      </c>
      <c r="I13" s="12" t="n">
        <v>0</v>
      </c>
      <c r="J13" s="12" t="n">
        <v>0</v>
      </c>
      <c r="K13" s="12" t="n">
        <v>0</v>
      </c>
      <c r="L13" s="13">
        <f>SUM(H13:K13)</f>
        <v/>
      </c>
      <c r="M13" s="14" t="inlineStr">
        <is>
          <t>&lt;=</t>
        </is>
      </c>
      <c r="N13" s="15" t="n">
        <v>1</v>
      </c>
    </row>
    <row r="14">
      <c r="A14" s="10" t="inlineStr">
        <is>
          <t>DS9</t>
        </is>
      </c>
      <c r="B14" s="11" t="n">
        <v>87</v>
      </c>
      <c r="C14" s="11" t="n">
        <v>94</v>
      </c>
      <c r="D14" s="11" t="n">
        <v>93</v>
      </c>
      <c r="E14" s="11" t="n">
        <v>72</v>
      </c>
      <c r="G14" s="10" t="inlineStr">
        <is>
          <t>DS9</t>
        </is>
      </c>
      <c r="H14" s="12" t="n">
        <v>0</v>
      </c>
      <c r="I14" s="12" t="n">
        <v>1</v>
      </c>
      <c r="J14" s="12" t="n">
        <v>0</v>
      </c>
      <c r="K14" s="12" t="n">
        <v>0</v>
      </c>
      <c r="L14" s="13">
        <f>SUM(H14:K14)</f>
        <v/>
      </c>
      <c r="M14" s="14" t="inlineStr">
        <is>
          <t>&lt;=</t>
        </is>
      </c>
      <c r="N14" s="15" t="n">
        <v>1</v>
      </c>
    </row>
    <row r="15">
      <c r="A15" s="10" t="inlineStr">
        <is>
          <t>DS10</t>
        </is>
      </c>
      <c r="B15" s="11" t="n">
        <v>100</v>
      </c>
      <c r="C15" s="11" t="n">
        <v>63</v>
      </c>
      <c r="D15" s="11" t="n">
        <v>65</v>
      </c>
      <c r="E15" s="11" t="n">
        <v>60</v>
      </c>
      <c r="G15" s="10" t="inlineStr">
        <is>
          <t>DS10</t>
        </is>
      </c>
      <c r="H15" s="12" t="n">
        <v>1</v>
      </c>
      <c r="I15" s="12" t="n">
        <v>0</v>
      </c>
      <c r="J15" s="12" t="n">
        <v>0</v>
      </c>
      <c r="K15" s="12" t="n">
        <v>0</v>
      </c>
      <c r="L15" s="13">
        <f>SUM(H15:K15)</f>
        <v/>
      </c>
      <c r="M15" s="14" t="inlineStr">
        <is>
          <t>&lt;=</t>
        </is>
      </c>
      <c r="N15" s="15" t="n">
        <v>1</v>
      </c>
    </row>
    <row r="16">
      <c r="A16" s="10" t="inlineStr">
        <is>
          <t>DS11</t>
        </is>
      </c>
      <c r="B16" s="11" t="n">
        <v>71</v>
      </c>
      <c r="C16" s="11" t="n">
        <v>94</v>
      </c>
      <c r="D16" s="11" t="n">
        <v>70</v>
      </c>
      <c r="E16" s="11" t="n">
        <v>82</v>
      </c>
      <c r="G16" s="10" t="inlineStr">
        <is>
          <t>DS11</t>
        </is>
      </c>
      <c r="H16" s="12" t="n">
        <v>0</v>
      </c>
      <c r="I16" s="12" t="n">
        <v>1</v>
      </c>
      <c r="J16" s="12" t="n">
        <v>0</v>
      </c>
      <c r="K16" s="12" t="n">
        <v>0</v>
      </c>
      <c r="L16" s="13">
        <f>SUM(H16:K16)</f>
        <v/>
      </c>
      <c r="M16" s="14" t="inlineStr">
        <is>
          <t>&lt;=</t>
        </is>
      </c>
      <c r="N16" s="15" t="n">
        <v>1</v>
      </c>
    </row>
    <row r="17">
      <c r="A17" s="10" t="inlineStr">
        <is>
          <t>DS12</t>
        </is>
      </c>
      <c r="B17" s="11" t="n">
        <v>73</v>
      </c>
      <c r="C17" s="11" t="n">
        <v>78</v>
      </c>
      <c r="D17" s="11" t="n">
        <v>96</v>
      </c>
      <c r="E17" s="11" t="n">
        <v>75</v>
      </c>
      <c r="G17" s="10" t="inlineStr">
        <is>
          <t>DS12</t>
        </is>
      </c>
      <c r="H17" s="12" t="n">
        <v>0</v>
      </c>
      <c r="I17" s="12" t="n">
        <v>0</v>
      </c>
      <c r="J17" s="12" t="n">
        <v>1</v>
      </c>
      <c r="K17" s="12" t="n">
        <v>0</v>
      </c>
      <c r="L17" s="13">
        <f>SUM(H17:K17)</f>
        <v/>
      </c>
      <c r="M17" s="14" t="inlineStr">
        <is>
          <t>&lt;=</t>
        </is>
      </c>
      <c r="N17" s="15" t="n">
        <v>1</v>
      </c>
    </row>
    <row r="18">
      <c r="A18" s="10" t="inlineStr">
        <is>
          <t>DS13</t>
        </is>
      </c>
      <c r="B18" s="11" t="n">
        <v>87</v>
      </c>
      <c r="C18" s="11" t="n">
        <v>90</v>
      </c>
      <c r="D18" s="11" t="n">
        <v>66</v>
      </c>
      <c r="E18" s="11" t="n">
        <v>86</v>
      </c>
      <c r="G18" s="10" t="inlineStr">
        <is>
          <t>DS13</t>
        </is>
      </c>
      <c r="H18" s="12" t="n">
        <v>0</v>
      </c>
      <c r="I18" s="12" t="n">
        <v>1</v>
      </c>
      <c r="J18" s="12" t="n">
        <v>0</v>
      </c>
      <c r="K18" s="12" t="n">
        <v>0</v>
      </c>
      <c r="L18" s="13">
        <f>SUM(H18:K18)</f>
        <v/>
      </c>
      <c r="M18" s="14" t="inlineStr">
        <is>
          <t>&lt;=</t>
        </is>
      </c>
      <c r="N18" s="15" t="n">
        <v>1</v>
      </c>
    </row>
    <row r="19">
      <c r="A19" s="10" t="inlineStr">
        <is>
          <t>DS14</t>
        </is>
      </c>
      <c r="B19" s="11" t="n">
        <v>76</v>
      </c>
      <c r="C19" s="11" t="n">
        <v>66</v>
      </c>
      <c r="D19" s="11" t="n">
        <v>74</v>
      </c>
      <c r="E19" s="11" t="n">
        <v>99</v>
      </c>
      <c r="G19" s="10" t="inlineStr">
        <is>
          <t>DS14</t>
        </is>
      </c>
      <c r="H19" s="12" t="n">
        <v>0</v>
      </c>
      <c r="I19" s="12" t="n">
        <v>0</v>
      </c>
      <c r="J19" s="12" t="n">
        <v>0</v>
      </c>
      <c r="K19" s="12" t="n">
        <v>1</v>
      </c>
      <c r="L19" s="13">
        <f>SUM(H19:K19)</f>
        <v/>
      </c>
      <c r="M19" s="14" t="inlineStr">
        <is>
          <t>&lt;=</t>
        </is>
      </c>
      <c r="N19" s="15" t="n">
        <v>1</v>
      </c>
    </row>
    <row r="20">
      <c r="A20" s="10" t="inlineStr">
        <is>
          <t>DS15</t>
        </is>
      </c>
      <c r="B20" s="11" t="n">
        <v>71</v>
      </c>
      <c r="C20" s="11" t="n">
        <v>67</v>
      </c>
      <c r="D20" s="11" t="n">
        <v>61</v>
      </c>
      <c r="E20" s="11" t="n">
        <v>97</v>
      </c>
      <c r="G20" s="10" t="inlineStr">
        <is>
          <t>DS15</t>
        </is>
      </c>
      <c r="H20" s="12" t="n">
        <v>0</v>
      </c>
      <c r="I20" s="12" t="n">
        <v>0</v>
      </c>
      <c r="J20" s="12" t="n">
        <v>0</v>
      </c>
      <c r="K20" s="12" t="n">
        <v>1</v>
      </c>
      <c r="L20" s="13">
        <f>SUM(H20:K20)</f>
        <v/>
      </c>
      <c r="M20" s="14" t="inlineStr">
        <is>
          <t>&lt;=</t>
        </is>
      </c>
      <c r="N20" s="15" t="n">
        <v>1</v>
      </c>
    </row>
    <row r="21">
      <c r="A21" s="10" t="inlineStr">
        <is>
          <t>DS16</t>
        </is>
      </c>
      <c r="B21" s="11" t="n">
        <v>85</v>
      </c>
      <c r="C21" s="11" t="n">
        <v>80</v>
      </c>
      <c r="D21" s="11" t="n">
        <v>72</v>
      </c>
      <c r="E21" s="11" t="n">
        <v>78</v>
      </c>
      <c r="G21" s="10" t="inlineStr">
        <is>
          <t>DS16</t>
        </is>
      </c>
      <c r="H21" s="12" t="n">
        <v>1</v>
      </c>
      <c r="I21" s="12" t="n">
        <v>0</v>
      </c>
      <c r="J21" s="12" t="n">
        <v>0</v>
      </c>
      <c r="K21" s="12" t="n">
        <v>0</v>
      </c>
      <c r="L21" s="13">
        <f>SUM(H21:K21)</f>
        <v/>
      </c>
      <c r="M21" s="14" t="inlineStr">
        <is>
          <t>&lt;=</t>
        </is>
      </c>
      <c r="N21" s="15" t="n">
        <v>1</v>
      </c>
    </row>
    <row r="22">
      <c r="A22" s="10" t="inlineStr">
        <is>
          <t>DS17</t>
        </is>
      </c>
      <c r="B22" s="11" t="n">
        <v>77</v>
      </c>
      <c r="C22" s="11" t="n">
        <v>61</v>
      </c>
      <c r="D22" s="11" t="n">
        <v>87</v>
      </c>
      <c r="E22" s="11" t="n">
        <v>82</v>
      </c>
      <c r="G22" s="10" t="inlineStr">
        <is>
          <t>DS17</t>
        </is>
      </c>
      <c r="H22" s="12" t="n">
        <v>0</v>
      </c>
      <c r="I22" s="12" t="n">
        <v>0</v>
      </c>
      <c r="J22" s="12" t="n">
        <v>1</v>
      </c>
      <c r="K22" s="12" t="n">
        <v>0</v>
      </c>
      <c r="L22" s="13">
        <f>SUM(H22:K22)</f>
        <v/>
      </c>
      <c r="M22" s="14" t="inlineStr">
        <is>
          <t>&lt;=</t>
        </is>
      </c>
      <c r="N22" s="15" t="n">
        <v>1</v>
      </c>
    </row>
    <row r="23">
      <c r="A23" s="10" t="inlineStr">
        <is>
          <t>DS18</t>
        </is>
      </c>
      <c r="B23" s="11" t="n">
        <v>63</v>
      </c>
      <c r="C23" s="11" t="n">
        <v>63</v>
      </c>
      <c r="D23" s="11" t="n">
        <v>71</v>
      </c>
      <c r="E23" s="11" t="n">
        <v>81</v>
      </c>
      <c r="G23" s="10" t="inlineStr">
        <is>
          <t>DS18</t>
        </is>
      </c>
      <c r="H23" s="12" t="n">
        <v>0</v>
      </c>
      <c r="I23" s="12" t="n">
        <v>0</v>
      </c>
      <c r="J23" s="12" t="n">
        <v>0</v>
      </c>
      <c r="K23" s="12" t="n">
        <v>1</v>
      </c>
      <c r="L23" s="13">
        <f>SUM(H23:K23)</f>
        <v/>
      </c>
      <c r="M23" s="14" t="inlineStr">
        <is>
          <t>&lt;=</t>
        </is>
      </c>
      <c r="N23" s="15" t="n">
        <v>1</v>
      </c>
    </row>
    <row r="24">
      <c r="A24" s="10" t="inlineStr">
        <is>
          <t>DS19</t>
        </is>
      </c>
      <c r="B24" s="11" t="n">
        <v>85</v>
      </c>
      <c r="C24" s="11" t="n">
        <v>99</v>
      </c>
      <c r="D24" s="11" t="n">
        <v>94</v>
      </c>
      <c r="E24" s="11" t="n">
        <v>63</v>
      </c>
      <c r="G24" s="10" t="inlineStr">
        <is>
          <t>DS19</t>
        </is>
      </c>
      <c r="H24" s="12" t="n">
        <v>0</v>
      </c>
      <c r="I24" s="12" t="n">
        <v>1</v>
      </c>
      <c r="J24" s="12" t="n">
        <v>0</v>
      </c>
      <c r="K24" s="12" t="n">
        <v>0</v>
      </c>
      <c r="L24" s="13">
        <f>SUM(H24:K24)</f>
        <v/>
      </c>
      <c r="M24" s="14" t="inlineStr">
        <is>
          <t>&lt;=</t>
        </is>
      </c>
      <c r="N24" s="15" t="n">
        <v>1</v>
      </c>
    </row>
    <row r="25">
      <c r="A25" s="10" t="inlineStr">
        <is>
          <t>DS20</t>
        </is>
      </c>
      <c r="B25" s="11" t="n">
        <v>71</v>
      </c>
      <c r="C25" s="11" t="n">
        <v>63</v>
      </c>
      <c r="D25" s="11" t="n">
        <v>90</v>
      </c>
      <c r="E25" s="11" t="n">
        <v>66</v>
      </c>
      <c r="G25" s="10" t="inlineStr">
        <is>
          <t>DS20</t>
        </is>
      </c>
      <c r="H25" s="12" t="n">
        <v>0</v>
      </c>
      <c r="I25" s="12" t="n">
        <v>0</v>
      </c>
      <c r="J25" s="12" t="n">
        <v>1</v>
      </c>
      <c r="K25" s="12" t="n">
        <v>0</v>
      </c>
      <c r="L25" s="13">
        <f>SUM(H25:K25)</f>
        <v/>
      </c>
      <c r="M25" s="14" t="inlineStr">
        <is>
          <t>&lt;=</t>
        </is>
      </c>
      <c r="N25" s="15" t="n">
        <v>1</v>
      </c>
    </row>
    <row r="27">
      <c r="A27" s="5" t="inlineStr">
        <is>
          <t>CONSTRAINT 1 — TEAM SIZE (each project must = 5)</t>
        </is>
      </c>
      <c r="H27" s="8" t="inlineStr">
        <is>
          <t>P1</t>
        </is>
      </c>
      <c r="I27" s="8" t="inlineStr">
        <is>
          <t>P2</t>
        </is>
      </c>
      <c r="J27" s="8" t="inlineStr">
        <is>
          <t>P3</t>
        </is>
      </c>
      <c r="K27" s="8" t="inlineStr">
        <is>
          <t>P4</t>
        </is>
      </c>
      <c r="L27" s="16" t="inlineStr"/>
    </row>
    <row r="28">
      <c r="G28" s="5" t="inlineStr">
        <is>
          <t># of DS in project  (LHS =SUM)</t>
        </is>
      </c>
      <c r="H28" s="17">
        <f>SUM(H6:H25)</f>
        <v/>
      </c>
      <c r="I28" s="17">
        <f>SUM(I6:I25)</f>
        <v/>
      </c>
      <c r="J28" s="17">
        <f>SUM(J6:J25)</f>
        <v/>
      </c>
      <c r="K28" s="17">
        <f>SUM(K6:K25)</f>
        <v/>
      </c>
      <c r="L28" s="14">
        <f> (each)</f>
        <v/>
      </c>
    </row>
    <row r="29">
      <c r="G29" s="5" t="inlineStr">
        <is>
          <t>Required team size (RHS)</t>
        </is>
      </c>
      <c r="H29" s="18" t="n">
        <v>5</v>
      </c>
      <c r="I29" s="18" t="n">
        <v>5</v>
      </c>
      <c r="J29" s="18" t="n">
        <v>5</v>
      </c>
      <c r="K29" s="18" t="n">
        <v>5</v>
      </c>
      <c r="L29" s="15" t="inlineStr">
        <is>
          <t>RHS = 5</t>
        </is>
      </c>
    </row>
    <row r="31">
      <c r="A31" s="5" t="inlineStr">
        <is>
          <t>CONSTRAINT 3 — DS2/DS4 CONFLICT (each project: DS2 + DS4 &lt;= 1)</t>
        </is>
      </c>
      <c r="H31" s="8" t="inlineStr">
        <is>
          <t>P1</t>
        </is>
      </c>
      <c r="I31" s="8" t="inlineStr">
        <is>
          <t>P2</t>
        </is>
      </c>
      <c r="J31" s="8" t="inlineStr">
        <is>
          <t>P3</t>
        </is>
      </c>
      <c r="K31" s="8" t="inlineStr">
        <is>
          <t>P4</t>
        </is>
      </c>
      <c r="L31" s="16" t="inlineStr"/>
    </row>
    <row r="32">
      <c r="G32" s="5" t="inlineStr">
        <is>
          <t>DS2 + DS4 in project  (LHS)</t>
        </is>
      </c>
      <c r="H32" s="17">
        <f>H7+H9</f>
        <v/>
      </c>
      <c r="I32" s="17">
        <f>I7+I9</f>
        <v/>
      </c>
      <c r="J32" s="17">
        <f>J7+J9</f>
        <v/>
      </c>
      <c r="K32" s="17">
        <f>K7+K9</f>
        <v/>
      </c>
      <c r="L32" s="14" t="inlineStr">
        <is>
          <t>&lt;= (each)</t>
        </is>
      </c>
    </row>
    <row r="33">
      <c r="G33" s="5" t="inlineStr">
        <is>
          <t>Limit (RHS)</t>
        </is>
      </c>
      <c r="H33" s="18" t="n">
        <v>1</v>
      </c>
      <c r="I33" s="18" t="n">
        <v>1</v>
      </c>
      <c r="J33" s="18" t="n">
        <v>1</v>
      </c>
      <c r="K33" s="18" t="n">
        <v>1</v>
      </c>
      <c r="L33" s="15" t="inlineStr">
        <is>
          <t>RHS = 1</t>
        </is>
      </c>
    </row>
    <row r="36">
      <c r="A36" s="19" t="inlineStr">
        <is>
          <t>SOLVER SETUP  (Data → Solver)  — enter the cell ranges below</t>
        </is>
      </c>
    </row>
    <row r="37">
      <c r="A37" s="8" t="inlineStr">
        <is>
          <t>Item</t>
        </is>
      </c>
      <c r="B37" s="6" t="n"/>
      <c r="C37" s="7" t="n"/>
      <c r="D37" s="8" t="inlineStr">
        <is>
          <t>Solver entry</t>
        </is>
      </c>
      <c r="E37" s="6" t="n"/>
      <c r="F37" s="6" t="n"/>
      <c r="G37" s="6" t="n"/>
      <c r="H37" s="7" t="n"/>
      <c r="I37" s="8" t="inlineStr">
        <is>
          <t>Meaning</t>
        </is>
      </c>
      <c r="J37" s="6" t="n"/>
      <c r="K37" s="6" t="n"/>
      <c r="L37" s="6" t="n"/>
      <c r="M37" s="6" t="n"/>
      <c r="N37" s="7" t="n"/>
    </row>
    <row r="38">
      <c r="A38" s="20" t="inlineStr">
        <is>
          <t>Decisions (Changing Cells)</t>
        </is>
      </c>
      <c r="D38" s="21" t="inlineStr">
        <is>
          <t>$H$6:$K$25</t>
        </is>
      </c>
      <c r="I38" s="22" t="inlineStr">
        <is>
          <t>80 binary cells (yellow)</t>
        </is>
      </c>
    </row>
    <row r="39">
      <c r="A39" s="20" t="inlineStr">
        <is>
          <t>Objective</t>
        </is>
      </c>
      <c r="D39" s="21" t="inlineStr">
        <is>
          <t>Max  $K$2</t>
        </is>
      </c>
      <c r="I39" s="22">
        <f> SUMPRODUCT(scores, decisions)</f>
        <v/>
      </c>
    </row>
    <row r="40">
      <c r="A40" s="20" t="inlineStr">
        <is>
          <t>Constraint 1 — Team size</t>
        </is>
      </c>
      <c r="D40" s="21" t="inlineStr">
        <is>
          <t>$H$28:$K$28  =  $H$29:$K$29</t>
        </is>
      </c>
      <c r="I40" s="22" t="inlineStr">
        <is>
          <t>each project has exactly 5 DS</t>
        </is>
      </c>
    </row>
    <row r="41">
      <c r="A41" s="20" t="inlineStr">
        <is>
          <t>Constraint 2 — 1 project each</t>
        </is>
      </c>
      <c r="D41" s="21" t="inlineStr">
        <is>
          <t>$L$6:$L$25  &lt;=  $N$6:$N$25</t>
        </is>
      </c>
      <c r="I41" s="22" t="inlineStr">
        <is>
          <t>each DS in at most 1 project</t>
        </is>
      </c>
    </row>
    <row r="42">
      <c r="A42" s="20" t="inlineStr">
        <is>
          <t>Constraint 3 — DS2/DS4 conflict</t>
        </is>
      </c>
      <c r="D42" s="21" t="inlineStr">
        <is>
          <t>$H$32:$K$32  &lt;=  $H$33:$K$33</t>
        </is>
      </c>
      <c r="I42" s="22" t="inlineStr">
        <is>
          <t>DS2 &amp; DS4 never in same project</t>
        </is>
      </c>
    </row>
    <row r="43">
      <c r="A43" s="20" t="inlineStr">
        <is>
          <t>Constraint 4 — Binary</t>
        </is>
      </c>
      <c r="D43" s="21" t="inlineStr">
        <is>
          <t>$H$6:$K$25  =  binary</t>
        </is>
      </c>
      <c r="I43" s="22" t="inlineStr">
        <is>
          <t>each cell is 0 or 1</t>
        </is>
      </c>
    </row>
    <row r="44">
      <c r="A44" s="20" t="inlineStr">
        <is>
          <t>Solving Method</t>
        </is>
      </c>
      <c r="D44" s="21" t="inlineStr">
        <is>
          <t>Simplex LP</t>
        </is>
      </c>
      <c r="I44" s="22" t="inlineStr">
        <is>
          <t>linear + binary → GLOBAL optimum</t>
        </is>
      </c>
    </row>
    <row r="46">
      <c r="A46" s="23" t="inlineStr">
        <is>
          <t>GLOBAL OPTIMUM = 1861.  P1: DS3,5,8,10,16 (467) | P2: DS2,9,11,13,19 (456) | P3: DS6,7,12,17,20 (467) | P4: DS1,4,14,15,18 (471).</t>
        </is>
      </c>
    </row>
  </sheetData>
  <mergeCells count="33">
    <mergeCell ref="A41:C41"/>
    <mergeCell ref="I41:N41"/>
    <mergeCell ref="A37:C37"/>
    <mergeCell ref="I37:N37"/>
    <mergeCell ref="A27:F27"/>
    <mergeCell ref="H2:J2"/>
    <mergeCell ref="L4:N4"/>
    <mergeCell ref="I43:N43"/>
    <mergeCell ref="D40:H40"/>
    <mergeCell ref="A1:N1"/>
    <mergeCell ref="A2:F2"/>
    <mergeCell ref="A42:C42"/>
    <mergeCell ref="I42:N42"/>
    <mergeCell ref="I39:N39"/>
    <mergeCell ref="D41:H41"/>
    <mergeCell ref="A46:N46"/>
    <mergeCell ref="A43:C43"/>
    <mergeCell ref="A38:C38"/>
    <mergeCell ref="I38:N38"/>
    <mergeCell ref="I44:N44"/>
    <mergeCell ref="A44:C44"/>
    <mergeCell ref="D43:H43"/>
    <mergeCell ref="A31:F31"/>
    <mergeCell ref="A40:C40"/>
    <mergeCell ref="I40:N40"/>
    <mergeCell ref="D37:H37"/>
    <mergeCell ref="A39:C39"/>
    <mergeCell ref="G4:K4"/>
    <mergeCell ref="D39:H39"/>
    <mergeCell ref="A4:E4"/>
    <mergeCell ref="D42:H42"/>
    <mergeCell ref="D38:H38"/>
    <mergeCell ref="D44:H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2026-07-05T19:06:44Z</dcterms:created>
  <dcterms:modified xsi:type="dcterms:W3CDTF">2026-07-05T19:06:44Z</dcterms:modified>
</cp:coreProperties>
</file>