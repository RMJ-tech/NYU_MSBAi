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</font>
    <font>
      <b val="1"/>
      <sz val="12"/>
    </font>
    <font>
      <b val="1"/>
      <color rgb="00FFFFFF"/>
      <sz val="11"/>
    </font>
    <font>
      <b val="1"/>
      <color rgb="001F4E78"/>
      <sz val="12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7" customWidth="1" min="8" max="8"/>
    <col width="7" customWidth="1" min="9" max="9"/>
    <col width="15" customWidth="1" min="10" max="10"/>
    <col width="15" customWidth="1" min="11" max="11"/>
    <col width="10" customWidth="1" min="12" max="12"/>
  </cols>
  <sheetData>
    <row r="1">
      <c r="A1" s="1" t="inlineStr">
        <is>
          <t>Darten Restaurant — Site Location (Solver Optimization Model)</t>
        </is>
      </c>
    </row>
    <row r="2">
      <c r="A2" s="2" t="inlineStr">
        <is>
          <t>At each site build a Red Snapper, an Olive Grove, or nothing — maximize total NPV. Orange = Objective. Yellow = Changing Variable Cells (decisions).</t>
        </is>
      </c>
      <c r="H2" s="3" t="inlineStr">
        <is>
          <t>OBJECTIVE  →  Total NPV ($M) — MAXIMIZE</t>
        </is>
      </c>
      <c r="J2" s="4">
        <f>SUMPRODUCT(B6:B15,D6:D15)+SUMPRODUCT(C6:C15,E6:E15)</f>
        <v/>
      </c>
    </row>
    <row r="4">
      <c r="A4" s="5" t="inlineStr">
        <is>
          <t>SITE DATA &amp; DECISIONS</t>
        </is>
      </c>
      <c r="B4" s="6" t="n"/>
      <c r="C4" s="6" t="n"/>
      <c r="D4" s="6" t="n"/>
      <c r="E4" s="6" t="n"/>
      <c r="F4" s="7" t="n"/>
      <c r="H4" s="5" t="inlineStr">
        <is>
          <t>WITHIN-15-MILE PAIRS  (no two of the SAME chain in a pair)</t>
        </is>
      </c>
      <c r="I4" s="6" t="n"/>
      <c r="J4" s="6" t="n"/>
      <c r="K4" s="7" t="n"/>
    </row>
    <row r="5" ht="42" customHeight="1">
      <c r="A5" s="8" t="inlineStr">
        <is>
          <t>Site</t>
        </is>
      </c>
      <c r="B5" s="8" t="inlineStr">
        <is>
          <t>Red Snapper NPV ($M)</t>
        </is>
      </c>
      <c r="C5" s="8" t="inlineStr">
        <is>
          <t>Olive Grove NPV ($M)</t>
        </is>
      </c>
      <c r="D5" s="8" t="inlineStr">
        <is>
          <t>Build Red Snapper (0/1)</t>
        </is>
      </c>
      <c r="E5" s="8" t="inlineStr">
        <is>
          <t>Build Olive Grove (0/1)</t>
        </is>
      </c>
      <c r="F5" s="8" t="inlineStr">
        <is>
          <t>Restaurants at site (≤ 1)</t>
        </is>
      </c>
      <c r="H5" s="8" t="inlineStr">
        <is>
          <t>Site i</t>
        </is>
      </c>
      <c r="I5" s="8" t="inlineStr">
        <is>
          <t>Site j</t>
        </is>
      </c>
      <c r="J5" s="8" t="inlineStr">
        <is>
          <t>RS_i + RS_j (≤ 1)</t>
        </is>
      </c>
      <c r="K5" s="8" t="inlineStr">
        <is>
          <t>OG_i + OG_j (≤ 1)</t>
        </is>
      </c>
    </row>
    <row r="6">
      <c r="A6" s="9" t="n">
        <v>1</v>
      </c>
      <c r="B6" s="10" t="n">
        <v>11.8</v>
      </c>
      <c r="C6" s="10" t="n">
        <v>16.2</v>
      </c>
      <c r="D6" s="11" t="n">
        <v>0</v>
      </c>
      <c r="E6" s="11" t="n">
        <v>0</v>
      </c>
      <c r="F6" s="12">
        <f>D6+E6</f>
        <v/>
      </c>
      <c r="H6" s="13" t="n">
        <v>1</v>
      </c>
      <c r="I6" s="13" t="n">
        <v>2</v>
      </c>
      <c r="J6" s="12">
        <f>D6+D7</f>
        <v/>
      </c>
      <c r="K6" s="12">
        <f>E6+E7</f>
        <v/>
      </c>
    </row>
    <row r="7">
      <c r="A7" s="9" t="n">
        <v>2</v>
      </c>
      <c r="B7" s="10" t="n">
        <v>13.3</v>
      </c>
      <c r="C7" s="10" t="n">
        <v>13.8</v>
      </c>
      <c r="D7" s="11" t="n">
        <v>0</v>
      </c>
      <c r="E7" s="11" t="n">
        <v>0</v>
      </c>
      <c r="F7" s="12">
        <f>D7+E7</f>
        <v/>
      </c>
      <c r="H7" s="13" t="n">
        <v>1</v>
      </c>
      <c r="I7" s="13" t="n">
        <v>3</v>
      </c>
      <c r="J7" s="12">
        <f>D6+D8</f>
        <v/>
      </c>
      <c r="K7" s="12">
        <f>E6+E8</f>
        <v/>
      </c>
    </row>
    <row r="8">
      <c r="A8" s="9" t="n">
        <v>3</v>
      </c>
      <c r="B8" s="10" t="n">
        <v>19</v>
      </c>
      <c r="C8" s="10" t="n">
        <v>14.6</v>
      </c>
      <c r="D8" s="11" t="n">
        <v>1</v>
      </c>
      <c r="E8" s="11" t="n">
        <v>0</v>
      </c>
      <c r="F8" s="12">
        <f>D8+E8</f>
        <v/>
      </c>
      <c r="H8" s="13" t="n">
        <v>1</v>
      </c>
      <c r="I8" s="13" t="n">
        <v>4</v>
      </c>
      <c r="J8" s="12">
        <f>D6+D9</f>
        <v/>
      </c>
      <c r="K8" s="12">
        <f>E6+E9</f>
        <v/>
      </c>
    </row>
    <row r="9">
      <c r="A9" s="9" t="n">
        <v>4</v>
      </c>
      <c r="B9" s="10" t="n">
        <v>17.8</v>
      </c>
      <c r="C9" s="10" t="n">
        <v>12.4</v>
      </c>
      <c r="D9" s="11" t="n">
        <v>0</v>
      </c>
      <c r="E9" s="11" t="n">
        <v>1</v>
      </c>
      <c r="F9" s="12">
        <f>D9+E9</f>
        <v/>
      </c>
      <c r="H9" s="13" t="n">
        <v>1</v>
      </c>
      <c r="I9" s="13" t="n">
        <v>5</v>
      </c>
      <c r="J9" s="12">
        <f>D6+D10</f>
        <v/>
      </c>
      <c r="K9" s="12">
        <f>E6+E10</f>
        <v/>
      </c>
    </row>
    <row r="10">
      <c r="A10" s="9" t="n">
        <v>5</v>
      </c>
      <c r="B10" s="10" t="n">
        <v>10</v>
      </c>
      <c r="C10" s="10" t="n">
        <v>13.7</v>
      </c>
      <c r="D10" s="11" t="n">
        <v>0</v>
      </c>
      <c r="E10" s="11" t="n">
        <v>1</v>
      </c>
      <c r="F10" s="12">
        <f>D10+E10</f>
        <v/>
      </c>
      <c r="H10" s="13" t="n">
        <v>2</v>
      </c>
      <c r="I10" s="13" t="n">
        <v>3</v>
      </c>
      <c r="J10" s="12">
        <f>D7+D8</f>
        <v/>
      </c>
      <c r="K10" s="12">
        <f>E7+E8</f>
        <v/>
      </c>
    </row>
    <row r="11">
      <c r="A11" s="9" t="n">
        <v>6</v>
      </c>
      <c r="B11" s="10" t="n">
        <v>16.1</v>
      </c>
      <c r="C11" s="10" t="n">
        <v>19</v>
      </c>
      <c r="D11" s="11" t="n">
        <v>1</v>
      </c>
      <c r="E11" s="11" t="n">
        <v>0</v>
      </c>
      <c r="F11" s="12">
        <f>D11+E11</f>
        <v/>
      </c>
      <c r="H11" s="13" t="n">
        <v>2</v>
      </c>
      <c r="I11" s="13" t="n">
        <v>4</v>
      </c>
      <c r="J11" s="12">
        <f>D7+D9</f>
        <v/>
      </c>
      <c r="K11" s="12">
        <f>E7+E9</f>
        <v/>
      </c>
    </row>
    <row r="12">
      <c r="A12" s="9" t="n">
        <v>7</v>
      </c>
      <c r="B12" s="10" t="n">
        <v>13.3</v>
      </c>
      <c r="C12" s="10" t="n">
        <v>10.8</v>
      </c>
      <c r="D12" s="11" t="n">
        <v>0</v>
      </c>
      <c r="E12" s="11" t="n">
        <v>1</v>
      </c>
      <c r="F12" s="12">
        <f>D12+E12</f>
        <v/>
      </c>
      <c r="H12" s="13" t="n">
        <v>2</v>
      </c>
      <c r="I12" s="13" t="n">
        <v>5</v>
      </c>
      <c r="J12" s="12">
        <f>D7+D10</f>
        <v/>
      </c>
      <c r="K12" s="12">
        <f>E7+E10</f>
        <v/>
      </c>
    </row>
    <row r="13">
      <c r="A13" s="9" t="n">
        <v>8</v>
      </c>
      <c r="B13" s="10" t="n">
        <v>18.8</v>
      </c>
      <c r="C13" s="10" t="n">
        <v>15.2</v>
      </c>
      <c r="D13" s="11" t="n">
        <v>1</v>
      </c>
      <c r="E13" s="11" t="n">
        <v>0</v>
      </c>
      <c r="F13" s="12">
        <f>D13+E13</f>
        <v/>
      </c>
      <c r="H13" s="13" t="n">
        <v>3</v>
      </c>
      <c r="I13" s="13" t="n">
        <v>4</v>
      </c>
      <c r="J13" s="12">
        <f>D8+D9</f>
        <v/>
      </c>
      <c r="K13" s="12">
        <f>E8+E9</f>
        <v/>
      </c>
    </row>
    <row r="14">
      <c r="A14" s="9" t="n">
        <v>9</v>
      </c>
      <c r="B14" s="10" t="n">
        <v>17.2</v>
      </c>
      <c r="C14" s="10" t="n">
        <v>15.9</v>
      </c>
      <c r="D14" s="11" t="n">
        <v>1</v>
      </c>
      <c r="E14" s="11" t="n">
        <v>0</v>
      </c>
      <c r="F14" s="12">
        <f>D14+E14</f>
        <v/>
      </c>
      <c r="H14" s="13" t="n">
        <v>3</v>
      </c>
      <c r="I14" s="13" t="n">
        <v>5</v>
      </c>
      <c r="J14" s="12">
        <f>D8+D10</f>
        <v/>
      </c>
      <c r="K14" s="12">
        <f>E8+E10</f>
        <v/>
      </c>
    </row>
    <row r="15">
      <c r="A15" s="9" t="n">
        <v>10</v>
      </c>
      <c r="B15" s="10" t="n">
        <v>14.4</v>
      </c>
      <c r="C15" s="10" t="n">
        <v>16.8</v>
      </c>
      <c r="D15" s="11" t="n">
        <v>0</v>
      </c>
      <c r="E15" s="11" t="n">
        <v>1</v>
      </c>
      <c r="F15" s="12">
        <f>D15+E15</f>
        <v/>
      </c>
      <c r="H15" s="13" t="n">
        <v>5</v>
      </c>
      <c r="I15" s="13" t="n">
        <v>8</v>
      </c>
      <c r="J15" s="12">
        <f>D10+D13</f>
        <v/>
      </c>
      <c r="K15" s="12">
        <f>E10+E13</f>
        <v/>
      </c>
    </row>
    <row r="16">
      <c r="H16" s="13" t="n">
        <v>5</v>
      </c>
      <c r="I16" s="13" t="n">
        <v>9</v>
      </c>
      <c r="J16" s="12">
        <f>D10+D14</f>
        <v/>
      </c>
      <c r="K16" s="12">
        <f>E10+E14</f>
        <v/>
      </c>
    </row>
    <row r="17">
      <c r="H17" s="13" t="n">
        <v>6</v>
      </c>
      <c r="I17" s="13" t="n">
        <v>7</v>
      </c>
      <c r="J17" s="12">
        <f>D11+D12</f>
        <v/>
      </c>
      <c r="K17" s="12">
        <f>E11+E12</f>
        <v/>
      </c>
    </row>
    <row r="18">
      <c r="H18" s="13" t="n">
        <v>7</v>
      </c>
      <c r="I18" s="13" t="n">
        <v>8</v>
      </c>
      <c r="J18" s="12">
        <f>D12+D13</f>
        <v/>
      </c>
      <c r="K18" s="12">
        <f>E12+E13</f>
        <v/>
      </c>
    </row>
    <row r="19">
      <c r="H19" s="13" t="n">
        <v>7</v>
      </c>
      <c r="I19" s="13" t="n">
        <v>9</v>
      </c>
      <c r="J19" s="12">
        <f>D12+D14</f>
        <v/>
      </c>
      <c r="K19" s="12">
        <f>E12+E14</f>
        <v/>
      </c>
    </row>
    <row r="20">
      <c r="H20" s="13" t="n">
        <v>8</v>
      </c>
      <c r="I20" s="13" t="n">
        <v>10</v>
      </c>
      <c r="J20" s="12">
        <f>D13+D15</f>
        <v/>
      </c>
      <c r="K20" s="12">
        <f>E13+E15</f>
        <v/>
      </c>
    </row>
    <row r="21">
      <c r="H21" s="13" t="n">
        <v>9</v>
      </c>
      <c r="I21" s="13" t="n">
        <v>10</v>
      </c>
      <c r="J21" s="12">
        <f>D14+D15</f>
        <v/>
      </c>
      <c r="K21" s="12">
        <f>E14+E15</f>
        <v/>
      </c>
    </row>
    <row r="25">
      <c r="A25" s="14" t="inlineStr">
        <is>
          <t>CONSTRAINTS (enter these in Solver)</t>
        </is>
      </c>
    </row>
    <row r="26">
      <c r="A26" s="15" t="inlineStr">
        <is>
          <t>Constraint</t>
        </is>
      </c>
      <c r="B26" s="7" t="n"/>
      <c r="C26" s="15" t="inlineStr">
        <is>
          <t>Solver entry</t>
        </is>
      </c>
      <c r="D26" s="6" t="n"/>
      <c r="E26" s="6" t="n"/>
      <c r="F26" s="7" t="n"/>
      <c r="G26" s="15" t="inlineStr">
        <is>
          <t>Meaning</t>
        </is>
      </c>
      <c r="H26" s="6" t="n"/>
      <c r="I26" s="6" t="n"/>
      <c r="J26" s="6" t="n"/>
      <c r="K26" s="6" t="n"/>
      <c r="L26" s="7" t="n"/>
    </row>
    <row r="27">
      <c r="A27" s="16" t="inlineStr">
        <is>
          <t>1. One per site</t>
        </is>
      </c>
      <c r="C27" s="17" t="inlineStr">
        <is>
          <t>$F$6:$F$15  &lt;=  1</t>
        </is>
      </c>
      <c r="G27" s="18" t="inlineStr">
        <is>
          <t>At most one restaurant (Red Snapper OR Olive Grove) per site.</t>
        </is>
      </c>
    </row>
    <row r="28">
      <c r="A28" s="16" t="inlineStr">
        <is>
          <t>2. Red Snapper spacing</t>
        </is>
      </c>
      <c r="C28" s="17" t="inlineStr">
        <is>
          <t>$J$6:$J$21  &lt;=  1</t>
        </is>
      </c>
      <c r="G28" s="18" t="inlineStr">
        <is>
          <t>No two Red Snappers within 15 miles of each other.</t>
        </is>
      </c>
    </row>
    <row r="29">
      <c r="A29" s="16" t="inlineStr">
        <is>
          <t>3. Olive Grove spacing</t>
        </is>
      </c>
      <c r="C29" s="17" t="inlineStr">
        <is>
          <t>$K$6:$K$21  &lt;=  1</t>
        </is>
      </c>
      <c r="G29" s="18" t="inlineStr">
        <is>
          <t>No two Olive Groves within 15 miles of each other.</t>
        </is>
      </c>
    </row>
    <row r="30">
      <c r="A30" s="16" t="inlineStr">
        <is>
          <t>4. Binary</t>
        </is>
      </c>
      <c r="C30" s="17" t="inlineStr">
        <is>
          <t>$D$6:$E$15  =  binary</t>
        </is>
      </c>
      <c r="G30" s="18" t="inlineStr">
        <is>
          <t>Each build decision is 0 or 1.</t>
        </is>
      </c>
    </row>
    <row r="32">
      <c r="A32" s="14" t="inlineStr">
        <is>
          <t>SOLVER SETUP (Data → Solver)</t>
        </is>
      </c>
    </row>
    <row r="33">
      <c r="A33" s="16" t="inlineStr">
        <is>
          <t>Set Objective:</t>
        </is>
      </c>
      <c r="C33" s="17" t="inlineStr">
        <is>
          <t>$J$2</t>
        </is>
      </c>
      <c r="I33" s="19" t="inlineStr">
        <is>
          <t>To: Max</t>
        </is>
      </c>
    </row>
    <row r="34">
      <c r="A34" s="16" t="inlineStr">
        <is>
          <t>By Changing Variable Cells:</t>
        </is>
      </c>
      <c r="C34" s="17" t="inlineStr">
        <is>
          <t>$D$6:$E$15</t>
        </is>
      </c>
      <c r="I34" s="19" t="inlineStr">
        <is>
          <t>(the 20 yellow binary cells)</t>
        </is>
      </c>
    </row>
    <row r="35">
      <c r="A35" s="16" t="inlineStr">
        <is>
          <t>Subject to the Constraints:</t>
        </is>
      </c>
      <c r="C35" s="17" t="inlineStr">
        <is>
          <t>$F$6:$F$15 &lt;= 1 ; $J$6:$J$21 &lt;= 1 ; $K$6:$K$21 &lt;= 1 ; $D$6:$E$15 = binary</t>
        </is>
      </c>
      <c r="I35" s="19" t="inlineStr"/>
    </row>
    <row r="36">
      <c r="A36" s="16" t="inlineStr">
        <is>
          <t>Solving Method:</t>
        </is>
      </c>
      <c r="C36" s="17" t="inlineStr">
        <is>
          <t>Simplex LP</t>
        </is>
      </c>
      <c r="I36" s="19" t="inlineStr">
        <is>
          <t>Model is linear → Simplex LP with binary vars guarantees the GLOBAL optimum.</t>
        </is>
      </c>
    </row>
    <row r="37">
      <c r="A37" s="16" t="inlineStr">
        <is>
          <t>Options:</t>
        </is>
      </c>
      <c r="C37" s="17" t="inlineStr">
        <is>
          <t>Check 'Make Unconstrained Variables Non-Negative'; Integer optimality (gap) = 0%</t>
        </is>
      </c>
      <c r="I37" s="19" t="inlineStr"/>
    </row>
    <row r="39">
      <c r="A39" s="20" t="inlineStr">
        <is>
          <t>GLOBAL OPTIMUM (solution shown above): Total NPV = $124.8M.  Red Snapper at sites 3, 6, 8, 9 ; Olive Grove at sites 4, 5, 7, 10 ; sites 1 &amp; 2 left empty.</t>
        </is>
      </c>
    </row>
    <row r="40">
      <c r="A40" s="2" t="inlineStr">
        <is>
          <t>Note: 'within 15 miles' is treated as symmetric (union of the table's listed pairs → 16 pairs). Different chains may sit within 15 miles of each other; only same-chain pairs are restricted.</t>
        </is>
      </c>
    </row>
  </sheetData>
  <mergeCells count="37">
    <mergeCell ref="A30:B30"/>
    <mergeCell ref="G28:L28"/>
    <mergeCell ref="I35:L35"/>
    <mergeCell ref="A36:B36"/>
    <mergeCell ref="C28:F28"/>
    <mergeCell ref="G30:L30"/>
    <mergeCell ref="A2:F2"/>
    <mergeCell ref="C36:H36"/>
    <mergeCell ref="I34:L34"/>
    <mergeCell ref="A37:B37"/>
    <mergeCell ref="C30:F30"/>
    <mergeCell ref="A4:F4"/>
    <mergeCell ref="A27:B27"/>
    <mergeCell ref="G26:L26"/>
    <mergeCell ref="G29:L29"/>
    <mergeCell ref="H4:K4"/>
    <mergeCell ref="A26:B26"/>
    <mergeCell ref="I36:L36"/>
    <mergeCell ref="H2:I2"/>
    <mergeCell ref="A33:B33"/>
    <mergeCell ref="C26:F26"/>
    <mergeCell ref="C37:H37"/>
    <mergeCell ref="C29:F29"/>
    <mergeCell ref="A40:L40"/>
    <mergeCell ref="C34:H34"/>
    <mergeCell ref="A39:L39"/>
    <mergeCell ref="A35:B35"/>
    <mergeCell ref="C33:H33"/>
    <mergeCell ref="I37:L37"/>
    <mergeCell ref="G27:L27"/>
    <mergeCell ref="A29:B29"/>
    <mergeCell ref="A1:L1"/>
    <mergeCell ref="A28:B28"/>
    <mergeCell ref="C35:H35"/>
    <mergeCell ref="C27:F27"/>
    <mergeCell ref="I33:L3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2026-07-01T15:24:52Z</dcterms:created>
  <dcterms:modified xsi:type="dcterms:W3CDTF">2026-07-01T15:24:52Z</dcterms:modified>
</cp:coreProperties>
</file>