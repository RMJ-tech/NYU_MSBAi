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Circle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"/>
  </numFmts>
  <fonts count="8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55555"/>
      <sz val="10"/>
    </font>
    <font>
      <b val="1"/>
      <color rgb="00FFFFFF"/>
      <sz val="11"/>
    </font>
    <font>
      <b val="1"/>
    </font>
    <font>
      <b val="1"/>
      <sz val="12"/>
    </font>
    <font>
      <b val="1"/>
      <color rgb="001F4E78"/>
      <sz val="12"/>
    </font>
    <font>
      <name val="Consolas"/>
      <sz val="10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F00"/>
      </patternFill>
    </fill>
    <fill>
      <patternFill patternType="solid">
        <fgColor rgb="00F2F2F2"/>
      </patternFill>
    </fill>
    <fill>
      <patternFill patternType="solid">
        <fgColor rgb="00FFC00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166" fontId="5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0" fillId="0" borderId="5" pivotButton="0" quotePrefix="0" xfId="0"/>
    <xf numFmtId="0" fontId="4" fillId="0" borderId="1" applyAlignment="1" pivotButton="0" quotePrefix="0" xfId="0">
      <alignment horizontal="left" vertical="center" wrapText="1"/>
    </xf>
    <xf numFmtId="9" fontId="7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9" fontId="0" fillId="9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7" fillId="7" borderId="1" applyAlignment="1" pivotButton="0" quotePrefix="0" xfId="0">
      <alignment horizontal="center" vertical="center"/>
    </xf>
    <xf numFmtId="164" fontId="0" fillId="9" borderId="1" applyAlignment="1" pivotButton="0" quotePrefix="0" xfId="0">
      <alignment horizontal="center" vertical="center"/>
    </xf>
    <xf numFmtId="166" fontId="7" fillId="7" borderId="1" applyAlignment="1" pivotButton="0" quotePrefix="0" xfId="0">
      <alignment horizontal="center" vertical="center"/>
    </xf>
    <xf numFmtId="2" fontId="0" fillId="9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24" customWidth="1" min="3" max="3"/>
    <col width="6" customWidth="1" min="4" max="4"/>
    <col width="9" customWidth="1" min="5" max="5"/>
    <col width="10" customWidth="1" min="6" max="6"/>
    <col width="11" customWidth="1" min="7" max="7"/>
    <col width="11" customWidth="1" min="8" max="8"/>
    <col width="16" customWidth="1" min="9" max="9"/>
  </cols>
  <sheetData>
    <row r="1">
      <c r="A1" s="1" t="inlineStr">
        <is>
          <t>OpenCircle Auto-Invest — Portfolio Allocation (Solver Model)  [decisions blank — solve it yourself]</t>
        </is>
      </c>
    </row>
    <row r="2">
      <c r="A2" s="2" t="inlineStr">
        <is>
          <t>Orange = Objective.  Yellow = changing cells (weights, start 0).  Blue = inputs.  Green = constraint LHS.  Peach = RHS.</t>
        </is>
      </c>
    </row>
    <row r="4" ht="42" customHeight="1">
      <c r="A4" s="3" t="inlineStr">
        <is>
          <t>Bucket</t>
        </is>
      </c>
      <c r="B4" s="3" t="inlineStr">
        <is>
          <t>Grade</t>
        </is>
      </c>
      <c r="C4" s="3" t="inlineStr">
        <is>
          <t>Term (m)</t>
        </is>
      </c>
      <c r="D4" s="3" t="inlineStr">
        <is>
          <t>Net Return (%)</t>
        </is>
      </c>
      <c r="E4" s="3" t="inlineStr">
        <is>
          <t>Exp. Loss (%/yr)</t>
        </is>
      </c>
      <c r="F4" s="3" t="inlineStr">
        <is>
          <t>Stress Loss (%/yr)</t>
        </is>
      </c>
      <c r="G4" s="3" t="inlineStr">
        <is>
          <t>Avg Life (yrs)</t>
        </is>
      </c>
      <c r="H4" s="3" t="inlineStr">
        <is>
          <t>Supply Cap</t>
        </is>
      </c>
      <c r="I4" s="3" t="inlineStr">
        <is>
          <t>Weight (decision)</t>
        </is>
      </c>
    </row>
    <row r="5">
      <c r="A5" s="4" t="inlineStr">
        <is>
          <t>A-36</t>
        </is>
      </c>
      <c r="B5" s="5" t="inlineStr">
        <is>
          <t>A</t>
        </is>
      </c>
      <c r="C5" s="5" t="n">
        <v>36</v>
      </c>
      <c r="D5" s="6" t="n">
        <v>6.8</v>
      </c>
      <c r="E5" s="6" t="n">
        <v>0.9</v>
      </c>
      <c r="F5" s="6" t="n">
        <v>1.4</v>
      </c>
      <c r="G5" s="6" t="n">
        <v>1.9</v>
      </c>
      <c r="H5" s="7" t="n">
        <v>0.15</v>
      </c>
      <c r="I5" s="8" t="n">
        <v>0</v>
      </c>
    </row>
    <row r="6">
      <c r="A6" s="4" t="inlineStr">
        <is>
          <t>B-36</t>
        </is>
      </c>
      <c r="B6" s="5" t="inlineStr">
        <is>
          <t>B</t>
        </is>
      </c>
      <c r="C6" s="5" t="n">
        <v>36</v>
      </c>
      <c r="D6" s="6" t="n">
        <v>8.300000000000001</v>
      </c>
      <c r="E6" s="6" t="n">
        <v>2.2</v>
      </c>
      <c r="F6" s="6" t="n">
        <v>3</v>
      </c>
      <c r="G6" s="6" t="n">
        <v>1.9</v>
      </c>
      <c r="H6" s="7" t="n">
        <v>0.2</v>
      </c>
      <c r="I6" s="8" t="n">
        <v>0</v>
      </c>
    </row>
    <row r="7">
      <c r="A7" s="4" t="inlineStr">
        <is>
          <t>C-36</t>
        </is>
      </c>
      <c r="B7" s="5" t="inlineStr">
        <is>
          <t>C</t>
        </is>
      </c>
      <c r="C7" s="5" t="n">
        <v>36</v>
      </c>
      <c r="D7" s="6" t="n">
        <v>10</v>
      </c>
      <c r="E7" s="6" t="n">
        <v>4.7</v>
      </c>
      <c r="F7" s="6" t="n">
        <v>6.2</v>
      </c>
      <c r="G7" s="6" t="n">
        <v>2</v>
      </c>
      <c r="H7" s="7" t="n">
        <v>0.2</v>
      </c>
      <c r="I7" s="8" t="n">
        <v>0</v>
      </c>
    </row>
    <row r="8">
      <c r="A8" s="4" t="inlineStr">
        <is>
          <t>C-60</t>
        </is>
      </c>
      <c r="B8" s="5" t="inlineStr">
        <is>
          <t>C</t>
        </is>
      </c>
      <c r="C8" s="5" t="n">
        <v>60</v>
      </c>
      <c r="D8" s="6" t="n">
        <v>10.7</v>
      </c>
      <c r="E8" s="6" t="n">
        <v>4.7</v>
      </c>
      <c r="F8" s="6" t="n">
        <v>6.2</v>
      </c>
      <c r="G8" s="6" t="n">
        <v>3.2</v>
      </c>
      <c r="H8" s="7" t="n">
        <v>0.3</v>
      </c>
      <c r="I8" s="8" t="n">
        <v>0</v>
      </c>
    </row>
    <row r="9">
      <c r="A9" s="4" t="inlineStr">
        <is>
          <t>D-60</t>
        </is>
      </c>
      <c r="B9" s="5" t="inlineStr">
        <is>
          <t>D</t>
        </is>
      </c>
      <c r="C9" s="5" t="n">
        <v>60</v>
      </c>
      <c r="D9" s="6" t="n">
        <v>12.2</v>
      </c>
      <c r="E9" s="6" t="n">
        <v>7.9</v>
      </c>
      <c r="F9" s="6" t="n">
        <v>10.4</v>
      </c>
      <c r="G9" s="6" t="n">
        <v>3.4</v>
      </c>
      <c r="H9" s="7" t="n">
        <v>0.25</v>
      </c>
      <c r="I9" s="8" t="n">
        <v>0</v>
      </c>
    </row>
    <row r="10">
      <c r="A10" s="4" t="inlineStr">
        <is>
          <t>E-60</t>
        </is>
      </c>
      <c r="B10" s="5" t="inlineStr">
        <is>
          <t>E</t>
        </is>
      </c>
      <c r="C10" s="5" t="n">
        <v>60</v>
      </c>
      <c r="D10" s="6" t="n">
        <v>13.3</v>
      </c>
      <c r="E10" s="6" t="n">
        <v>11.5</v>
      </c>
      <c r="F10" s="6" t="n">
        <v>15</v>
      </c>
      <c r="G10" s="6" t="n">
        <v>3.4</v>
      </c>
      <c r="H10" s="7" t="n">
        <v>0.12</v>
      </c>
      <c r="I10" s="8" t="n">
        <v>0</v>
      </c>
    </row>
    <row r="12">
      <c r="A12" s="9" t="inlineStr">
        <is>
          <t>OBJECTIVE (Max) → Portfolio Net Return (%)</t>
        </is>
      </c>
      <c r="B12" s="10" t="n"/>
      <c r="C12" s="11">
        <f>SUMPRODUCT(D5:D10,I5:I10)</f>
        <v/>
      </c>
      <c r="D12" s="2" t="inlineStr">
        <is>
          <t>(shows 0 until you solve)</t>
        </is>
      </c>
    </row>
    <row r="14">
      <c r="A14" s="12" t="inlineStr">
        <is>
          <t>CONSTRAINTS  (LHS formula  |  sign  |  RHS)</t>
        </is>
      </c>
    </row>
    <row r="15">
      <c r="A15" s="13" t="inlineStr">
        <is>
          <t>Constraint</t>
        </is>
      </c>
      <c r="B15" s="10" t="n"/>
      <c r="C15" s="13" t="inlineStr">
        <is>
          <t>LHS (formula cell)</t>
        </is>
      </c>
      <c r="D15" s="13" t="inlineStr">
        <is>
          <t>sign</t>
        </is>
      </c>
      <c r="E15" s="13" t="inlineStr">
        <is>
          <t>RHS</t>
        </is>
      </c>
      <c r="F15" s="13" t="inlineStr">
        <is>
          <t>Note</t>
        </is>
      </c>
      <c r="G15" s="14" t="n"/>
      <c r="H15" s="14" t="n"/>
      <c r="I15" s="10" t="n"/>
    </row>
    <row r="16">
      <c r="A16" s="15" t="inlineStr">
        <is>
          <t>1. Fully invested</t>
        </is>
      </c>
      <c r="C16" s="16">
        <f>SUM(I5:I10)</f>
        <v/>
      </c>
      <c r="D16" s="17" t="inlineStr">
        <is>
          <t>=</t>
        </is>
      </c>
      <c r="E16" s="18" t="n">
        <v>1</v>
      </c>
      <c r="F16" s="19" t="inlineStr">
        <is>
          <t>weights sum to 100%</t>
        </is>
      </c>
    </row>
    <row r="17">
      <c r="A17" s="15" t="inlineStr">
        <is>
          <t>2. Loss — normal</t>
        </is>
      </c>
      <c r="C17" s="20">
        <f>SUMPRODUCT(E5:E10,I5:I10)</f>
        <v/>
      </c>
      <c r="D17" s="17" t="inlineStr">
        <is>
          <t>&lt;=</t>
        </is>
      </c>
      <c r="E17" s="21" t="n">
        <v>5</v>
      </c>
      <c r="F17" s="19" t="inlineStr">
        <is>
          <t>portfolio expected loss ≤ 5%/yr</t>
        </is>
      </c>
    </row>
    <row r="18">
      <c r="A18" s="15" t="inlineStr">
        <is>
          <t>3. Loss — stress</t>
        </is>
      </c>
      <c r="C18" s="20">
        <f>SUMPRODUCT(F5:F10,I5:I10)</f>
        <v/>
      </c>
      <c r="D18" s="17" t="inlineStr">
        <is>
          <t>&lt;=</t>
        </is>
      </c>
      <c r="E18" s="21" t="n">
        <v>7</v>
      </c>
      <c r="F18" s="19" t="inlineStr">
        <is>
          <t>stressed loss ≤ 7%/yr</t>
        </is>
      </c>
    </row>
    <row r="19">
      <c r="A19" s="15" t="inlineStr">
        <is>
          <t>4. Avg life</t>
        </is>
      </c>
      <c r="C19" s="22">
        <f>SUMPRODUCT(G5:G10,I5:I10)</f>
        <v/>
      </c>
      <c r="D19" s="17" t="inlineStr">
        <is>
          <t>&lt;=</t>
        </is>
      </c>
      <c r="E19" s="23" t="n">
        <v>2.6</v>
      </c>
      <c r="F19" s="19" t="inlineStr">
        <is>
          <t>weighted avg life ≤ 2.6 yrs</t>
        </is>
      </c>
    </row>
    <row r="20">
      <c r="A20" s="15" t="inlineStr">
        <is>
          <t>5. 5-yr min</t>
        </is>
      </c>
      <c r="C20" s="16">
        <f>SUM(I8:I10)</f>
        <v/>
      </c>
      <c r="D20" s="17" t="inlineStr">
        <is>
          <t>&gt;=</t>
        </is>
      </c>
      <c r="E20" s="18" t="n">
        <v>0.2</v>
      </c>
      <c r="F20" s="19" t="inlineStr">
        <is>
          <t>five-year (60m) share ≥ 20%</t>
        </is>
      </c>
    </row>
    <row r="21">
      <c r="A21" s="15" t="inlineStr">
        <is>
          <t>6. 5-yr max</t>
        </is>
      </c>
      <c r="C21" s="16">
        <f>SUM(I8:I10)</f>
        <v/>
      </c>
      <c r="D21" s="17" t="inlineStr">
        <is>
          <t>&lt;=</t>
        </is>
      </c>
      <c r="E21" s="18" t="n">
        <v>0.4</v>
      </c>
      <c r="F21" s="19" t="inlineStr">
        <is>
          <t>five-year (60m) share ≤ 40%</t>
        </is>
      </c>
    </row>
    <row r="22">
      <c r="A22" s="15" t="inlineStr">
        <is>
          <t>7. Grade A min</t>
        </is>
      </c>
      <c r="C22" s="16">
        <f>I5</f>
        <v/>
      </c>
      <c r="D22" s="17" t="inlineStr">
        <is>
          <t>&gt;=</t>
        </is>
      </c>
      <c r="E22" s="18" t="n">
        <v>0.15</v>
      </c>
      <c r="F22" s="19" t="inlineStr">
        <is>
          <t>Grade A ≥ 15% (stability)</t>
        </is>
      </c>
    </row>
    <row r="23">
      <c r="A23" s="15" t="inlineStr">
        <is>
          <t>8. Grade C max</t>
        </is>
      </c>
      <c r="C23" s="16">
        <f>I7+I8</f>
        <v/>
      </c>
      <c r="D23" s="17" t="inlineStr">
        <is>
          <t>&lt;=</t>
        </is>
      </c>
      <c r="E23" s="18" t="n">
        <v>0.35</v>
      </c>
      <c r="F23" s="19" t="inlineStr">
        <is>
          <t>Grade C (C-36+C-60) ≤ 35%</t>
        </is>
      </c>
    </row>
    <row r="24">
      <c r="A24" s="15" t="inlineStr">
        <is>
          <t>9. Grade D max</t>
        </is>
      </c>
      <c r="C24" s="16">
        <f>I9</f>
        <v/>
      </c>
      <c r="D24" s="17" t="inlineStr">
        <is>
          <t>&lt;=</t>
        </is>
      </c>
      <c r="E24" s="18" t="n">
        <v>0.25</v>
      </c>
      <c r="F24" s="19" t="inlineStr">
        <is>
          <t>Grade D ≤ 25%</t>
        </is>
      </c>
    </row>
    <row r="25">
      <c r="A25" s="15" t="inlineStr">
        <is>
          <t>10. Grade E max</t>
        </is>
      </c>
      <c r="C25" s="16">
        <f>I10</f>
        <v/>
      </c>
      <c r="D25" s="17" t="inlineStr">
        <is>
          <t>&lt;=</t>
        </is>
      </c>
      <c r="E25" s="18" t="n">
        <v>0.15</v>
      </c>
      <c r="F25" s="19" t="inlineStr">
        <is>
          <t>Grade E ≤ 15%</t>
        </is>
      </c>
    </row>
    <row r="26">
      <c r="A26" s="15" t="inlineStr">
        <is>
          <t>11. Supply caps</t>
        </is>
      </c>
      <c r="C26" s="24" t="inlineStr">
        <is>
          <t>I5:I10</t>
        </is>
      </c>
      <c r="D26" s="17" t="inlineStr">
        <is>
          <t>&lt;=</t>
        </is>
      </c>
      <c r="E26" s="25" t="inlineStr">
        <is>
          <t>H5:H10</t>
        </is>
      </c>
      <c r="F26" s="19" t="inlineStr">
        <is>
          <t>each bucket ≤ its supply cap (column H)</t>
        </is>
      </c>
    </row>
    <row r="28">
      <c r="A28" s="12" t="inlineStr">
        <is>
          <t>SOLVER SETUP (Data → Solver)</t>
        </is>
      </c>
    </row>
    <row r="29">
      <c r="A29" s="13" t="inlineStr">
        <is>
          <t>Item</t>
        </is>
      </c>
      <c r="B29" s="10" t="n"/>
      <c r="C29" s="13" t="inlineStr">
        <is>
          <t>Entry</t>
        </is>
      </c>
      <c r="D29" s="14" t="n"/>
      <c r="E29" s="14" t="n"/>
      <c r="F29" s="14" t="n"/>
      <c r="G29" s="10" t="n"/>
      <c r="H29" s="13" t="inlineStr">
        <is>
          <t>Note</t>
        </is>
      </c>
      <c r="I29" s="10" t="n"/>
    </row>
    <row r="30">
      <c r="A30" s="15" t="inlineStr">
        <is>
          <t>Set Objective</t>
        </is>
      </c>
      <c r="C30" s="26" t="inlineStr">
        <is>
          <t>$C$12</t>
        </is>
      </c>
      <c r="H30" s="19" t="inlineStr">
        <is>
          <t>To: Max</t>
        </is>
      </c>
    </row>
    <row r="31">
      <c r="A31" s="15" t="inlineStr">
        <is>
          <t>By Changing Variable Cells</t>
        </is>
      </c>
      <c r="C31" s="26" t="inlineStr">
        <is>
          <t>$I$5:$I$10</t>
        </is>
      </c>
      <c r="H31" s="19" t="inlineStr">
        <is>
          <t>the 6 yellow weights</t>
        </is>
      </c>
    </row>
    <row r="32">
      <c r="A32" s="15" t="inlineStr">
        <is>
          <t>Subject to the Constraints</t>
        </is>
      </c>
      <c r="C32" s="26" t="inlineStr">
        <is>
          <t>$C$16=$E$16 ; $C$17&lt;=$E$17 ; $C$18&lt;=$E$18 ; $C$19&lt;=$E$19 ; $C$20&gt;=$E$20 ; $C$21&lt;=$E$21 ; $C$22&gt;=$E$22 ; $C$23&lt;=$E$23 ; $C$24&lt;=$E$24 ; $C$25&lt;=$E$25 ; $I$5:$I$10&lt;=$H$5:$H$10</t>
        </is>
      </c>
      <c r="H32" s="19" t="inlineStr"/>
    </row>
    <row r="33">
      <c r="A33" s="15" t="inlineStr">
        <is>
          <t>Options</t>
        </is>
      </c>
      <c r="C33" s="26" t="inlineStr">
        <is>
          <t>Check 'Make Unconstrained Variables Non-Negative'</t>
        </is>
      </c>
      <c r="H33" s="19" t="inlineStr"/>
    </row>
    <row r="34">
      <c r="A34" s="15" t="inlineStr">
        <is>
          <t>Solving Method</t>
        </is>
      </c>
      <c r="C34" s="26" t="inlineStr">
        <is>
          <t>Simplex LP</t>
        </is>
      </c>
      <c r="H34" s="19" t="inlineStr">
        <is>
          <t>linear → global optimum</t>
        </is>
      </c>
    </row>
  </sheetData>
  <mergeCells count="46">
    <mergeCell ref="A24:B24"/>
    <mergeCell ref="A30:B30"/>
    <mergeCell ref="C30:G30"/>
    <mergeCell ref="A15:B15"/>
    <mergeCell ref="C34:G34"/>
    <mergeCell ref="H29:I29"/>
    <mergeCell ref="C33:G33"/>
    <mergeCell ref="H31:I31"/>
    <mergeCell ref="C29:G29"/>
    <mergeCell ref="H34:I34"/>
    <mergeCell ref="A16:B16"/>
    <mergeCell ref="A2:I2"/>
    <mergeCell ref="A25:B25"/>
    <mergeCell ref="D12:I12"/>
    <mergeCell ref="F16:I16"/>
    <mergeCell ref="C31:G31"/>
    <mergeCell ref="F19:I19"/>
    <mergeCell ref="A18:B18"/>
    <mergeCell ref="F25:I25"/>
    <mergeCell ref="A12:B12"/>
    <mergeCell ref="A26:B26"/>
    <mergeCell ref="A21:B21"/>
    <mergeCell ref="H32:I32"/>
    <mergeCell ref="A33:B33"/>
    <mergeCell ref="F24:I24"/>
    <mergeCell ref="A32:B32"/>
    <mergeCell ref="F15:I15"/>
    <mergeCell ref="F21:I21"/>
    <mergeCell ref="A17:B17"/>
    <mergeCell ref="A23:B23"/>
    <mergeCell ref="F20:I20"/>
    <mergeCell ref="A22:B22"/>
    <mergeCell ref="F18:I18"/>
    <mergeCell ref="A20:B20"/>
    <mergeCell ref="F26:I26"/>
    <mergeCell ref="A29:B29"/>
    <mergeCell ref="F17:I17"/>
    <mergeCell ref="C32:G32"/>
    <mergeCell ref="A19:B19"/>
    <mergeCell ref="H33:I33"/>
    <mergeCell ref="A1:I1"/>
    <mergeCell ref="F23:I23"/>
    <mergeCell ref="A31:B31"/>
    <mergeCell ref="H30:I30"/>
    <mergeCell ref="A34:B34"/>
    <mergeCell ref="F22:I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2026-07-06T02:20:31Z</dcterms:created>
  <dcterms:modified xsi:type="dcterms:W3CDTF">2026-07-06T02:20:31Z</dcterms:modified>
</cp:coreProperties>
</file>