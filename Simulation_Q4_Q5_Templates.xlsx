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RiskManagement" sheetId="1" state="visible" r:id="rId1"/>
    <sheet name="5_HometownInsur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  <font>
      <name val="Consolas"/>
      <sz val="9"/>
    </font>
    <font>
      <b val="1"/>
    </font>
    <font>
      <b val="1"/>
      <sz val="12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C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2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5" customWidth="1" min="3" max="3"/>
    <col width="9" customWidth="1" min="4" max="4"/>
    <col width="9" customWidth="1" min="5" max="5"/>
    <col width="18" customWidth="1" min="6" max="6"/>
    <col width="24" customWidth="1" min="7" max="7"/>
    <col width="14" customWidth="1" min="8" max="8"/>
  </cols>
  <sheetData>
    <row r="1">
      <c r="A1" s="1" t="inlineStr">
        <is>
          <t>4. Risk Management — Total Aggregated Loss (Crystal Ball, 10,000 trials)</t>
        </is>
      </c>
    </row>
    <row r="2">
      <c r="A2" s="2" t="inlineStr">
        <is>
          <t>Blue = inputs.  Yellow = CB Assumptions (Yes-No occurrence, Triangular loss).  Orange = Forecast (total loss).  (=CB.* shows #NAME? until CB loaded.)</t>
        </is>
      </c>
    </row>
    <row r="4" ht="42" customHeight="1">
      <c r="A4" s="3" t="inlineStr">
        <is>
          <t>Event</t>
        </is>
      </c>
      <c r="B4" s="3" t="inlineStr">
        <is>
          <t>Prob / yr</t>
        </is>
      </c>
      <c r="C4" s="3" t="inlineStr">
        <is>
          <t>Most Likely ($M)</t>
        </is>
      </c>
      <c r="D4" s="3" t="inlineStr">
        <is>
          <t>Min ($M)</t>
        </is>
      </c>
      <c r="E4" s="3" t="inlineStr">
        <is>
          <t>Max ($M)</t>
        </is>
      </c>
      <c r="F4" s="3" t="inlineStr">
        <is>
          <t>Occurs? (CB.YesNo)</t>
        </is>
      </c>
      <c r="G4" s="3" t="inlineStr">
        <is>
          <t>Loss if occurs (CB.Triangular)</t>
        </is>
      </c>
      <c r="H4" s="3" t="inlineStr">
        <is>
          <t>Event Loss ($M)</t>
        </is>
      </c>
    </row>
    <row r="5">
      <c r="A5" s="4" t="inlineStr">
        <is>
          <t>IT system, major failure</t>
        </is>
      </c>
      <c r="B5" s="5" t="n">
        <v>0.01</v>
      </c>
      <c r="C5" s="6" t="n">
        <v>5</v>
      </c>
      <c r="D5" s="6" t="n">
        <v>3</v>
      </c>
      <c r="E5" s="6" t="n">
        <v>7</v>
      </c>
      <c r="F5" s="7">
        <f>CB.YesNo(B5)</f>
        <v/>
      </c>
      <c r="G5" s="7">
        <f>CB.Triangular(D5,C5,E5)</f>
        <v/>
      </c>
      <c r="H5" s="8">
        <f>F5*G5</f>
        <v/>
      </c>
    </row>
    <row r="6">
      <c r="A6" s="4" t="inlineStr">
        <is>
          <t>Problem with manufacturing process</t>
        </is>
      </c>
      <c r="B6" s="5" t="n">
        <v>0.025</v>
      </c>
      <c r="C6" s="6" t="n">
        <v>1</v>
      </c>
      <c r="D6" s="6" t="n">
        <v>0.5</v>
      </c>
      <c r="E6" s="6" t="n">
        <v>1.5</v>
      </c>
      <c r="F6" s="7">
        <f>CB.YesNo(B6)</f>
        <v/>
      </c>
      <c r="G6" s="7">
        <f>CB.Triangular(D6,C6,E6)</f>
        <v/>
      </c>
      <c r="H6" s="8">
        <f>F6*G6</f>
        <v/>
      </c>
    </row>
    <row r="7">
      <c r="A7" s="4" t="inlineStr">
        <is>
          <t>Serious illness of a Board member</t>
        </is>
      </c>
      <c r="B7" s="5" t="n">
        <v>0.05</v>
      </c>
      <c r="C7" s="6" t="n">
        <v>0.1</v>
      </c>
      <c r="D7" s="6" t="n">
        <v>0.05</v>
      </c>
      <c r="E7" s="6" t="n">
        <v>0.15</v>
      </c>
      <c r="F7" s="7">
        <f>CB.YesNo(B7)</f>
        <v/>
      </c>
      <c r="G7" s="7">
        <f>CB.Triangular(D7,C7,E7)</f>
        <v/>
      </c>
      <c r="H7" s="8">
        <f>F7*G7</f>
        <v/>
      </c>
    </row>
    <row r="8">
      <c r="A8" s="4" t="inlineStr">
        <is>
          <t>Employee wins law suit</t>
        </is>
      </c>
      <c r="B8" s="5" t="n">
        <v>0.08</v>
      </c>
      <c r="C8" s="6" t="n">
        <v>2.5</v>
      </c>
      <c r="D8" s="6" t="n">
        <v>2</v>
      </c>
      <c r="E8" s="6" t="n">
        <v>3</v>
      </c>
      <c r="F8" s="7">
        <f>CB.YesNo(B8)</f>
        <v/>
      </c>
      <c r="G8" s="7">
        <f>CB.Triangular(D8,C8,E8)</f>
        <v/>
      </c>
      <c r="H8" s="8">
        <f>F8*G8</f>
        <v/>
      </c>
    </row>
    <row r="9">
      <c r="A9" s="4" t="inlineStr">
        <is>
          <t>Entry of new competitor</t>
        </is>
      </c>
      <c r="B9" s="5" t="n">
        <v>0.1</v>
      </c>
      <c r="C9" s="6" t="n">
        <v>10</v>
      </c>
      <c r="D9" s="6" t="n">
        <v>5</v>
      </c>
      <c r="E9" s="6" t="n">
        <v>15</v>
      </c>
      <c r="F9" s="7">
        <f>CB.YesNo(B9)</f>
        <v/>
      </c>
      <c r="G9" s="7">
        <f>CB.Triangular(D9,C9,E9)</f>
        <v/>
      </c>
      <c r="H9" s="8">
        <f>F9*G9</f>
        <v/>
      </c>
    </row>
    <row r="10">
      <c r="A10" s="4" t="inlineStr">
        <is>
          <t>Failure of new product launch</t>
        </is>
      </c>
      <c r="B10" s="5" t="n">
        <v>0.075</v>
      </c>
      <c r="C10" s="6" t="n">
        <v>6</v>
      </c>
      <c r="D10" s="6" t="n">
        <v>4</v>
      </c>
      <c r="E10" s="6" t="n">
        <v>8</v>
      </c>
      <c r="F10" s="7">
        <f>CB.YesNo(B10)</f>
        <v/>
      </c>
      <c r="G10" s="7">
        <f>CB.Triangular(D10,C10,E10)</f>
        <v/>
      </c>
      <c r="H10" s="8">
        <f>F10*G10</f>
        <v/>
      </c>
    </row>
    <row r="11">
      <c r="A11" s="4" t="inlineStr">
        <is>
          <t>Strengthening of $ Xrate</t>
        </is>
      </c>
      <c r="B11" s="5" t="n">
        <v>0.35</v>
      </c>
      <c r="C11" s="6" t="n">
        <v>1</v>
      </c>
      <c r="D11" s="6" t="n">
        <v>0.5</v>
      </c>
      <c r="E11" s="6" t="n">
        <v>1.5</v>
      </c>
      <c r="F11" s="7">
        <f>CB.YesNo(B11)</f>
        <v/>
      </c>
      <c r="G11" s="7">
        <f>CB.Triangular(D11,C11,E11)</f>
        <v/>
      </c>
      <c r="H11" s="8">
        <f>F11*G11</f>
        <v/>
      </c>
    </row>
    <row r="12">
      <c r="A12" s="4" t="inlineStr">
        <is>
          <t>Fire in head office</t>
        </is>
      </c>
      <c r="B12" s="5" t="n">
        <v>0.02</v>
      </c>
      <c r="C12" s="6" t="n">
        <v>2.5</v>
      </c>
      <c r="D12" s="6" t="n">
        <v>2</v>
      </c>
      <c r="E12" s="6" t="n">
        <v>3</v>
      </c>
      <c r="F12" s="7">
        <f>CB.YesNo(B12)</f>
        <v/>
      </c>
      <c r="G12" s="7">
        <f>CB.Triangular(D12,C12,E12)</f>
        <v/>
      </c>
      <c r="H12" s="8">
        <f>F12*G12</f>
        <v/>
      </c>
    </row>
    <row r="13">
      <c r="A13" s="4" t="inlineStr">
        <is>
          <t>Fraud</t>
        </is>
      </c>
      <c r="B13" s="5" t="n">
        <v>0.005</v>
      </c>
      <c r="C13" s="6" t="n">
        <v>5</v>
      </c>
      <c r="D13" s="6" t="n">
        <v>4</v>
      </c>
      <c r="E13" s="6" t="n">
        <v>6</v>
      </c>
      <c r="F13" s="7">
        <f>CB.YesNo(B13)</f>
        <v/>
      </c>
      <c r="G13" s="7">
        <f>CB.Triangular(D13,C13,E13)</f>
        <v/>
      </c>
      <c r="H13" s="8">
        <f>F13*G13</f>
        <v/>
      </c>
    </row>
    <row r="14">
      <c r="A14" s="4" t="inlineStr">
        <is>
          <t>Confidential data lost</t>
        </is>
      </c>
      <c r="B14" s="5" t="n">
        <v>0.01</v>
      </c>
      <c r="C14" s="6" t="n">
        <v>3</v>
      </c>
      <c r="D14" s="6" t="n">
        <v>2</v>
      </c>
      <c r="E14" s="6" t="n">
        <v>4</v>
      </c>
      <c r="F14" s="7">
        <f>CB.YesNo(B14)</f>
        <v/>
      </c>
      <c r="G14" s="7">
        <f>CB.Triangular(D14,C14,E14)</f>
        <v/>
      </c>
      <c r="H14" s="8">
        <f>F14*G14</f>
        <v/>
      </c>
    </row>
    <row r="15">
      <c r="A15" s="4" t="inlineStr">
        <is>
          <t>Large customer goes bankrupt owing money</t>
        </is>
      </c>
      <c r="B15" s="5" t="n">
        <v>0.02</v>
      </c>
      <c r="C15" s="6" t="n">
        <v>5</v>
      </c>
      <c r="D15" s="6" t="n">
        <v>5</v>
      </c>
      <c r="E15" s="6" t="n">
        <v>5</v>
      </c>
      <c r="F15" s="7">
        <f>CB.YesNo(B15)</f>
        <v/>
      </c>
      <c r="G15" s="9">
        <f>C15</f>
        <v/>
      </c>
      <c r="H15" s="8">
        <f>F15*G15</f>
        <v/>
      </c>
    </row>
    <row r="17">
      <c r="A17" s="10" t="inlineStr">
        <is>
          <t>TOTAL AGGREGATED LOSS  →  FORECAST</t>
        </is>
      </c>
      <c r="B17" s="11" t="n"/>
      <c r="C17" s="11" t="n"/>
      <c r="D17" s="11" t="n"/>
      <c r="E17" s="11" t="n"/>
      <c r="F17" s="11" t="n"/>
      <c r="G17" s="12" t="n"/>
      <c r="H17" s="13">
        <f>SUM(H5:H15)</f>
        <v/>
      </c>
    </row>
    <row r="19">
      <c r="A19" s="14" t="inlineStr">
        <is>
          <t>HOW TO USE</t>
        </is>
      </c>
    </row>
    <row r="20">
      <c r="A20" s="2" t="inlineStr">
        <is>
          <t>1. Define F5:F15 (occurrence) and G5:G14 (Triangular loss) as Assumptions.  (Event 11 loss is a constant $5M, not random.)</t>
        </is>
      </c>
    </row>
    <row r="21">
      <c r="A21" s="2" t="inlineStr">
        <is>
          <t>2. Define H17 (Total Aggregated Loss) as the Forecast cell.</t>
        </is>
      </c>
    </row>
    <row r="22">
      <c r="A22" s="2" t="inlineStr">
        <is>
          <t>3. Run Preferences -&gt; 10,000 trials -&gt; Run.</t>
        </is>
      </c>
    </row>
    <row r="23">
      <c r="A23" s="2" t="inlineStr">
        <is>
          <t>4. Report from the Statistics/Percentiles table:  Mean = expected total loss;  Std Dev;  95th percentile (95% VaR).  Capture the frequency chart.</t>
        </is>
      </c>
    </row>
  </sheetData>
  <mergeCells count="7">
    <mergeCell ref="A21:H21"/>
    <mergeCell ref="A17:G17"/>
    <mergeCell ref="A20:H20"/>
    <mergeCell ref="A2:H2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16" customWidth="1" min="4" max="4"/>
    <col width="18" customWidth="1" min="5" max="5"/>
    <col width="6" customWidth="1" min="6" max="6"/>
  </cols>
  <sheetData>
    <row r="1">
      <c r="A1" s="1" t="inlineStr">
        <is>
          <t>5. Hometown Insurance — 10-yr Annuity Profit (Crystal Ball, 10,000 trials)</t>
        </is>
      </c>
    </row>
    <row r="2">
      <c r="A2" s="2" t="inlineStr">
        <is>
          <t>Blue = inputs.  Yellow = CB Assumption (annual return).  Orange = Forecast (Hometown profit).</t>
        </is>
      </c>
    </row>
    <row r="4">
      <c r="A4" s="15" t="inlineStr">
        <is>
          <t>Initial investment ($)</t>
        </is>
      </c>
      <c r="B4" s="16" t="n">
        <v>500000</v>
      </c>
    </row>
    <row r="5">
      <c r="A5" s="15" t="inlineStr">
        <is>
          <t>Mean annual return</t>
        </is>
      </c>
      <c r="B5" s="5" t="n">
        <v>0.08</v>
      </c>
    </row>
    <row r="6">
      <c r="A6" s="15" t="inlineStr">
        <is>
          <t>Std dev of return</t>
        </is>
      </c>
      <c r="B6" s="5" t="n">
        <v>0.03</v>
      </c>
    </row>
    <row r="7">
      <c r="A7" s="15" t="inlineStr">
        <is>
          <t>Guaranteed floor (min)</t>
        </is>
      </c>
      <c r="B7" s="5" t="n">
        <v>0.05</v>
      </c>
    </row>
    <row r="8">
      <c r="A8" s="15" t="inlineStr">
        <is>
          <t>Rate cap (max)</t>
        </is>
      </c>
      <c r="B8" s="5" t="n">
        <v>0.075</v>
      </c>
    </row>
    <row r="10" ht="42" customHeight="1">
      <c r="A10" s="3" t="inlineStr">
        <is>
          <t>Year</t>
        </is>
      </c>
      <c r="B10" s="3" t="inlineStr">
        <is>
          <t>Actual Return (CB.Normal)</t>
        </is>
      </c>
      <c r="C10" s="3" t="inlineStr">
        <is>
          <t>Credited Rate =MIN(MAX(r,floor),cap)</t>
        </is>
      </c>
      <c r="D10" s="3" t="inlineStr">
        <is>
          <t>Fund Value ($)</t>
        </is>
      </c>
      <c r="E10" s="3" t="inlineStr">
        <is>
          <t>Investor Value ($)</t>
        </is>
      </c>
    </row>
    <row r="11">
      <c r="A11" s="17" t="n">
        <v>0</v>
      </c>
      <c r="B11" s="17" t="inlineStr">
        <is>
          <t>—</t>
        </is>
      </c>
      <c r="C11" s="17" t="inlineStr">
        <is>
          <t>—</t>
        </is>
      </c>
      <c r="D11" s="18">
        <f>B4</f>
        <v/>
      </c>
      <c r="E11" s="18">
        <f>B4</f>
        <v/>
      </c>
    </row>
    <row r="12">
      <c r="A12" s="17" t="n">
        <v>1</v>
      </c>
      <c r="B12" s="19">
        <f>CB.Normal($B$5,$B$6)</f>
        <v/>
      </c>
      <c r="C12" s="20">
        <f>MIN(MAX(B12,$B$7),$B$8)</f>
        <v/>
      </c>
      <c r="D12" s="18">
        <f>D11*(1+B12)</f>
        <v/>
      </c>
      <c r="E12" s="18">
        <f>E11*(1+C12)</f>
        <v/>
      </c>
    </row>
    <row r="13">
      <c r="A13" s="17" t="n">
        <v>2</v>
      </c>
      <c r="B13" s="19">
        <f>CB.Normal($B$5,$B$6)</f>
        <v/>
      </c>
      <c r="C13" s="20">
        <f>MIN(MAX(B13,$B$7),$B$8)</f>
        <v/>
      </c>
      <c r="D13" s="18">
        <f>D12*(1+B13)</f>
        <v/>
      </c>
      <c r="E13" s="18">
        <f>E12*(1+C13)</f>
        <v/>
      </c>
    </row>
    <row r="14">
      <c r="A14" s="17" t="n">
        <v>3</v>
      </c>
      <c r="B14" s="19">
        <f>CB.Normal($B$5,$B$6)</f>
        <v/>
      </c>
      <c r="C14" s="20">
        <f>MIN(MAX(B14,$B$7),$B$8)</f>
        <v/>
      </c>
      <c r="D14" s="18">
        <f>D13*(1+B14)</f>
        <v/>
      </c>
      <c r="E14" s="18">
        <f>E13*(1+C14)</f>
        <v/>
      </c>
    </row>
    <row r="15">
      <c r="A15" s="17" t="n">
        <v>4</v>
      </c>
      <c r="B15" s="19">
        <f>CB.Normal($B$5,$B$6)</f>
        <v/>
      </c>
      <c r="C15" s="20">
        <f>MIN(MAX(B15,$B$7),$B$8)</f>
        <v/>
      </c>
      <c r="D15" s="18">
        <f>D14*(1+B15)</f>
        <v/>
      </c>
      <c r="E15" s="18">
        <f>E14*(1+C15)</f>
        <v/>
      </c>
    </row>
    <row r="16">
      <c r="A16" s="17" t="n">
        <v>5</v>
      </c>
      <c r="B16" s="19">
        <f>CB.Normal($B$5,$B$6)</f>
        <v/>
      </c>
      <c r="C16" s="20">
        <f>MIN(MAX(B16,$B$7),$B$8)</f>
        <v/>
      </c>
      <c r="D16" s="18">
        <f>D15*(1+B16)</f>
        <v/>
      </c>
      <c r="E16" s="18">
        <f>E15*(1+C16)</f>
        <v/>
      </c>
    </row>
    <row r="17">
      <c r="A17" s="17" t="n">
        <v>6</v>
      </c>
      <c r="B17" s="19">
        <f>CB.Normal($B$5,$B$6)</f>
        <v/>
      </c>
      <c r="C17" s="20">
        <f>MIN(MAX(B17,$B$7),$B$8)</f>
        <v/>
      </c>
      <c r="D17" s="18">
        <f>D16*(1+B17)</f>
        <v/>
      </c>
      <c r="E17" s="18">
        <f>E16*(1+C17)</f>
        <v/>
      </c>
    </row>
    <row r="18">
      <c r="A18" s="17" t="n">
        <v>7</v>
      </c>
      <c r="B18" s="19">
        <f>CB.Normal($B$5,$B$6)</f>
        <v/>
      </c>
      <c r="C18" s="20">
        <f>MIN(MAX(B18,$B$7),$B$8)</f>
        <v/>
      </c>
      <c r="D18" s="18">
        <f>D17*(1+B18)</f>
        <v/>
      </c>
      <c r="E18" s="18">
        <f>E17*(1+C18)</f>
        <v/>
      </c>
    </row>
    <row r="19">
      <c r="A19" s="17" t="n">
        <v>8</v>
      </c>
      <c r="B19" s="19">
        <f>CB.Normal($B$5,$B$6)</f>
        <v/>
      </c>
      <c r="C19" s="20">
        <f>MIN(MAX(B19,$B$7),$B$8)</f>
        <v/>
      </c>
      <c r="D19" s="18">
        <f>D18*(1+B19)</f>
        <v/>
      </c>
      <c r="E19" s="18">
        <f>E18*(1+C19)</f>
        <v/>
      </c>
    </row>
    <row r="20">
      <c r="A20" s="17" t="n">
        <v>9</v>
      </c>
      <c r="B20" s="19">
        <f>CB.Normal($B$5,$B$6)</f>
        <v/>
      </c>
      <c r="C20" s="20">
        <f>MIN(MAX(B20,$B$7),$B$8)</f>
        <v/>
      </c>
      <c r="D20" s="18">
        <f>D19*(1+B20)</f>
        <v/>
      </c>
      <c r="E20" s="18">
        <f>E19*(1+C20)</f>
        <v/>
      </c>
    </row>
    <row r="21">
      <c r="A21" s="17" t="n">
        <v>10</v>
      </c>
      <c r="B21" s="19">
        <f>CB.Normal($B$5,$B$6)</f>
        <v/>
      </c>
      <c r="C21" s="20">
        <f>MIN(MAX(B21,$B$7),$B$8)</f>
        <v/>
      </c>
      <c r="D21" s="18">
        <f>D20*(1+B21)</f>
        <v/>
      </c>
      <c r="E21" s="18">
        <f>E20*(1+C21)</f>
        <v/>
      </c>
    </row>
    <row r="23">
      <c r="A23" s="10" t="inlineStr">
        <is>
          <t>HOMETOWN PROFIT (Fund − Investor)  →  FORECAST</t>
        </is>
      </c>
      <c r="B23" s="11" t="n"/>
      <c r="C23" s="12" t="n"/>
      <c r="D23" s="21">
        <f>D21-E21</f>
        <v/>
      </c>
    </row>
    <row r="24">
      <c r="A24" s="10" t="inlineStr">
        <is>
          <t>Loss? (1 if profit&lt;0)  →  FORECAST (for Q2)</t>
        </is>
      </c>
      <c r="B24" s="11" t="n"/>
      <c r="C24" s="12" t="n"/>
      <c r="D24" s="22">
        <f>IF(D21-E21&lt;0,1,0)</f>
        <v/>
      </c>
    </row>
    <row r="26">
      <c r="A26" s="14" t="inlineStr">
        <is>
          <t>HOW TO USE</t>
        </is>
      </c>
    </row>
    <row r="27">
      <c r="A27" s="2" t="inlineStr">
        <is>
          <t>1. Define B12:B21 (10 annual returns) as Assumptions (CB.Normal 8%,3%).</t>
        </is>
      </c>
    </row>
    <row r="28">
      <c r="A28" s="2" t="inlineStr">
        <is>
          <t>2. Q1: Define D23 (Hometown profit) as Forecast -&gt; 10,000 trials -&gt; Mean = expected profit; capture frequency chart.</t>
        </is>
      </c>
    </row>
    <row r="29">
      <c r="A29" s="2" t="inlineStr">
        <is>
          <t>3. Q2: P(Hometown loses) = Certainty of D23 &lt; 0  (set the certainty range to (-inf, 0)).  Or define D24 as a Forecast; its Mean = probability of loss.</t>
        </is>
      </c>
    </row>
    <row r="30">
      <c r="A30" s="2" t="inlineStr">
        <is>
          <t>Logic: fund grows at the ACTUAL return; investor grows at the CLAMPED rate (min 5%, max 7.5%). Hometown keeps the difference (profit) or covers the shortfall (loss).</t>
        </is>
      </c>
    </row>
  </sheetData>
  <mergeCells count="8">
    <mergeCell ref="A2:F2"/>
    <mergeCell ref="A28:F28"/>
    <mergeCell ref="A23:C23"/>
    <mergeCell ref="A1:F1"/>
    <mergeCell ref="A29:F29"/>
    <mergeCell ref="A27:F27"/>
    <mergeCell ref="A30:F3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2026-07-07T12:45:47Z</dcterms:created>
  <dcterms:modified xsi:type="dcterms:W3CDTF">2026-07-07T12:45:47Z</dcterms:modified>
</cp:coreProperties>
</file>