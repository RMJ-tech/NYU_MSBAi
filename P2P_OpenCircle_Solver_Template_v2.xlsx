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Circl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sz val="12"/>
    </font>
    <font>
      <b val="1"/>
      <color rgb="001F4E78"/>
      <sz val="12"/>
    </font>
    <font>
      <name val="Consolas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165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9" fontId="7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9" fontId="0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2" fontId="7" fillId="7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24" customWidth="1" min="3" max="3"/>
    <col width="6" customWidth="1" min="4" max="4"/>
    <col width="9" customWidth="1" min="5" max="5"/>
    <col width="10" customWidth="1" min="6" max="6"/>
    <col width="11" customWidth="1" min="7" max="7"/>
    <col width="11" customWidth="1" min="8" max="8"/>
    <col width="16" customWidth="1" min="9" max="9"/>
  </cols>
  <sheetData>
    <row r="1">
      <c r="A1" s="1" t="inlineStr">
        <is>
          <t>OpenCircle Auto-Invest — Portfolio Allocation (Solver Model)  [FULL 10-bucket, 5-yr cap 40% enforced]</t>
        </is>
      </c>
    </row>
    <row r="2">
      <c r="A2" s="2" t="inlineStr">
        <is>
          <t>Orange = Objective.  Yellow = changing cells (weights).  Blue = inputs.  Green = constraint LHS.  Peach = RHS.  Stress loss = expected loss + stress uplift.</t>
        </is>
      </c>
    </row>
    <row r="4" ht="42" customHeight="1">
      <c r="A4" s="3" t="inlineStr">
        <is>
          <t>Bucket</t>
        </is>
      </c>
      <c r="B4" s="3" t="inlineStr">
        <is>
          <t>Grade</t>
        </is>
      </c>
      <c r="C4" s="3" t="inlineStr">
        <is>
          <t>Term (m)</t>
        </is>
      </c>
      <c r="D4" s="3" t="inlineStr">
        <is>
          <t>Net Return (%)</t>
        </is>
      </c>
      <c r="E4" s="3" t="inlineStr">
        <is>
          <t>Exp. Loss (%/yr)</t>
        </is>
      </c>
      <c r="F4" s="3" t="inlineStr">
        <is>
          <t>Stress Loss (%/yr)</t>
        </is>
      </c>
      <c r="G4" s="3" t="inlineStr">
        <is>
          <t>Avg Life (yrs)</t>
        </is>
      </c>
      <c r="H4" s="3" t="inlineStr">
        <is>
          <t>Supply Cap</t>
        </is>
      </c>
      <c r="I4" s="3" t="inlineStr">
        <is>
          <t>Weight (decision)</t>
        </is>
      </c>
    </row>
    <row r="5">
      <c r="A5" s="4" t="inlineStr">
        <is>
          <t>A-36</t>
        </is>
      </c>
      <c r="B5" s="5" t="inlineStr">
        <is>
          <t>A</t>
        </is>
      </c>
      <c r="C5" s="5" t="n">
        <v>36</v>
      </c>
      <c r="D5" s="6" t="n">
        <v>6.8</v>
      </c>
      <c r="E5" s="6" t="n">
        <v>0.9</v>
      </c>
      <c r="F5" s="6" t="n">
        <v>1.4</v>
      </c>
      <c r="G5" s="6" t="n">
        <v>1.9</v>
      </c>
      <c r="H5" s="7" t="n">
        <v>0.15</v>
      </c>
      <c r="I5" s="8" t="n">
        <v>0.15</v>
      </c>
    </row>
    <row r="6">
      <c r="A6" s="4" t="inlineStr">
        <is>
          <t>A-60</t>
        </is>
      </c>
      <c r="B6" s="5" t="inlineStr">
        <is>
          <t>A</t>
        </is>
      </c>
      <c r="C6" s="5" t="n">
        <v>60</v>
      </c>
      <c r="D6" s="6" t="n">
        <v>7.1</v>
      </c>
      <c r="E6" s="6" t="n">
        <v>0.9</v>
      </c>
      <c r="F6" s="6" t="n">
        <v>1.4</v>
      </c>
      <c r="G6" s="6" t="n">
        <v>3</v>
      </c>
      <c r="H6" s="7" t="n">
        <v>1</v>
      </c>
      <c r="I6" s="8" t="n">
        <v>0</v>
      </c>
    </row>
    <row r="7">
      <c r="A7" s="4" t="inlineStr">
        <is>
          <t>B-36</t>
        </is>
      </c>
      <c r="B7" s="5" t="inlineStr">
        <is>
          <t>B</t>
        </is>
      </c>
      <c r="C7" s="5" t="n">
        <v>36</v>
      </c>
      <c r="D7" s="6" t="n">
        <v>8.300000000000001</v>
      </c>
      <c r="E7" s="6" t="n">
        <v>2.2</v>
      </c>
      <c r="F7" s="6" t="n">
        <v>3</v>
      </c>
      <c r="G7" s="6" t="n">
        <v>1.9</v>
      </c>
      <c r="H7" s="7" t="n">
        <v>0.2</v>
      </c>
      <c r="I7" s="8" t="n">
        <v>0.175269</v>
      </c>
    </row>
    <row r="8">
      <c r="A8" s="4" t="inlineStr">
        <is>
          <t>B-60</t>
        </is>
      </c>
      <c r="B8" s="5" t="inlineStr">
        <is>
          <t>B</t>
        </is>
      </c>
      <c r="C8" s="5" t="n">
        <v>60</v>
      </c>
      <c r="D8" s="6" t="n">
        <v>8.800000000000001</v>
      </c>
      <c r="E8" s="6" t="n">
        <v>2.2</v>
      </c>
      <c r="F8" s="6" t="n">
        <v>3</v>
      </c>
      <c r="G8" s="6" t="n">
        <v>3</v>
      </c>
      <c r="H8" s="7" t="n">
        <v>1</v>
      </c>
      <c r="I8" s="8" t="n">
        <v>0</v>
      </c>
    </row>
    <row r="9">
      <c r="A9" s="4" t="inlineStr">
        <is>
          <t>C-36</t>
        </is>
      </c>
      <c r="B9" s="5" t="inlineStr">
        <is>
          <t>C</t>
        </is>
      </c>
      <c r="C9" s="5" t="n">
        <v>36</v>
      </c>
      <c r="D9" s="6" t="n">
        <v>10</v>
      </c>
      <c r="E9" s="6" t="n">
        <v>4.7</v>
      </c>
      <c r="F9" s="6" t="n">
        <v>6.2</v>
      </c>
      <c r="G9" s="6" t="n">
        <v>2</v>
      </c>
      <c r="H9" s="7" t="n">
        <v>0.2</v>
      </c>
      <c r="I9" s="8" t="n">
        <v>0.05</v>
      </c>
    </row>
    <row r="10">
      <c r="A10" s="4" t="inlineStr">
        <is>
          <t>C-60</t>
        </is>
      </c>
      <c r="B10" s="5" t="inlineStr">
        <is>
          <t>C</t>
        </is>
      </c>
      <c r="C10" s="5" t="n">
        <v>60</v>
      </c>
      <c r="D10" s="6" t="n">
        <v>10.7</v>
      </c>
      <c r="E10" s="6" t="n">
        <v>4.7</v>
      </c>
      <c r="F10" s="6" t="n">
        <v>6.2</v>
      </c>
      <c r="G10" s="6" t="n">
        <v>3.2</v>
      </c>
      <c r="H10" s="7" t="n">
        <v>0.3</v>
      </c>
      <c r="I10" s="8" t="n">
        <v>0.3</v>
      </c>
    </row>
    <row r="11">
      <c r="A11" s="4" t="inlineStr">
        <is>
          <t>D-36</t>
        </is>
      </c>
      <c r="B11" s="5" t="inlineStr">
        <is>
          <t>D</t>
        </is>
      </c>
      <c r="C11" s="5" t="n">
        <v>36</v>
      </c>
      <c r="D11" s="6" t="n">
        <v>11.6</v>
      </c>
      <c r="E11" s="6" t="n">
        <v>7.9</v>
      </c>
      <c r="F11" s="6" t="n">
        <v>10.4</v>
      </c>
      <c r="G11" s="6" t="n">
        <v>2.1</v>
      </c>
      <c r="H11" s="7" t="n">
        <v>1</v>
      </c>
      <c r="I11" s="8" t="n">
        <v>0.224731</v>
      </c>
    </row>
    <row r="12">
      <c r="A12" s="4" t="inlineStr">
        <is>
          <t>D-60</t>
        </is>
      </c>
      <c r="B12" s="5" t="inlineStr">
        <is>
          <t>D</t>
        </is>
      </c>
      <c r="C12" s="5" t="n">
        <v>60</v>
      </c>
      <c r="D12" s="6" t="n">
        <v>12.2</v>
      </c>
      <c r="E12" s="6" t="n">
        <v>7.9</v>
      </c>
      <c r="F12" s="6" t="n">
        <v>10.4</v>
      </c>
      <c r="G12" s="6" t="n">
        <v>3.4</v>
      </c>
      <c r="H12" s="7" t="n">
        <v>0.25</v>
      </c>
      <c r="I12" s="8" t="n">
        <v>0.025269</v>
      </c>
    </row>
    <row r="13">
      <c r="A13" s="4" t="inlineStr">
        <is>
          <t>E-36</t>
        </is>
      </c>
      <c r="B13" s="5" t="inlineStr">
        <is>
          <t>E</t>
        </is>
      </c>
      <c r="C13" s="5" t="n">
        <v>36</v>
      </c>
      <c r="D13" s="6" t="n">
        <v>12.6</v>
      </c>
      <c r="E13" s="6" t="n">
        <v>11.5</v>
      </c>
      <c r="F13" s="6" t="n">
        <v>15</v>
      </c>
      <c r="G13" s="6" t="n">
        <v>2.1</v>
      </c>
      <c r="H13" s="7" t="n">
        <v>1</v>
      </c>
      <c r="I13" s="8" t="n">
        <v>0</v>
      </c>
    </row>
    <row r="14">
      <c r="A14" s="4" t="inlineStr">
        <is>
          <t>E-60</t>
        </is>
      </c>
      <c r="B14" s="5" t="inlineStr">
        <is>
          <t>E</t>
        </is>
      </c>
      <c r="C14" s="5" t="n">
        <v>60</v>
      </c>
      <c r="D14" s="6" t="n">
        <v>13.3</v>
      </c>
      <c r="E14" s="6" t="n">
        <v>11.5</v>
      </c>
      <c r="F14" s="6" t="n">
        <v>15</v>
      </c>
      <c r="G14" s="6" t="n">
        <v>3.4</v>
      </c>
      <c r="H14" s="7" t="n">
        <v>0.12</v>
      </c>
      <c r="I14" s="8" t="n">
        <v>0.07473100000000001</v>
      </c>
    </row>
    <row r="16">
      <c r="A16" s="9" t="inlineStr">
        <is>
          <t>OBJECTIVE (Max) -&gt; Portfolio Net Return (%)</t>
        </is>
      </c>
      <c r="B16" s="10" t="n"/>
      <c r="C16" s="11">
        <f>SUMPRODUCT(D5:D14,I5:I14)</f>
        <v/>
      </c>
      <c r="D16" s="2" t="inlineStr">
        <is>
          <t>optimum = 10.094%</t>
        </is>
      </c>
    </row>
    <row r="18">
      <c r="A18" s="12" t="inlineStr">
        <is>
          <t>CONSTRAINTS  (LHS formula  |  sign  |  RHS)</t>
        </is>
      </c>
    </row>
    <row r="19">
      <c r="A19" s="13" t="inlineStr">
        <is>
          <t>Constraint</t>
        </is>
      </c>
      <c r="B19" s="10" t="n"/>
      <c r="C19" s="13" t="inlineStr">
        <is>
          <t>LHS (formula cell)</t>
        </is>
      </c>
      <c r="D19" s="13" t="inlineStr">
        <is>
          <t>sign</t>
        </is>
      </c>
      <c r="E19" s="13" t="inlineStr">
        <is>
          <t>RHS</t>
        </is>
      </c>
      <c r="F19" s="13" t="inlineStr">
        <is>
          <t>Note</t>
        </is>
      </c>
      <c r="G19" s="14" t="n"/>
      <c r="H19" s="14" t="n"/>
      <c r="I19" s="10" t="n"/>
    </row>
    <row r="20">
      <c r="A20" s="15" t="inlineStr">
        <is>
          <t>1. Fully invested</t>
        </is>
      </c>
      <c r="C20" s="16">
        <f>SUM(I5:I14)</f>
        <v/>
      </c>
      <c r="D20" s="17" t="inlineStr">
        <is>
          <t>=</t>
        </is>
      </c>
      <c r="E20" s="18" t="n">
        <v>1</v>
      </c>
      <c r="F20" s="19" t="inlineStr">
        <is>
          <t>weights sum to 100%</t>
        </is>
      </c>
    </row>
    <row r="21">
      <c r="A21" s="15" t="inlineStr">
        <is>
          <t>2. Loss - normal</t>
        </is>
      </c>
      <c r="C21" s="20">
        <f>SUMPRODUCT(E5:E14,I5:I14)</f>
        <v/>
      </c>
      <c r="D21" s="17" t="inlineStr">
        <is>
          <t>&lt;=</t>
        </is>
      </c>
      <c r="E21" s="21" t="n">
        <v>5</v>
      </c>
      <c r="F21" s="19" t="inlineStr">
        <is>
          <t>portfolio expected loss &lt;= 5%/yr</t>
        </is>
      </c>
    </row>
    <row r="22">
      <c r="A22" s="15" t="inlineStr">
        <is>
          <t>3. Loss - stress</t>
        </is>
      </c>
      <c r="C22" s="20">
        <f>SUMPRODUCT(F5:F14,I5:I14)</f>
        <v/>
      </c>
      <c r="D22" s="17" t="inlineStr">
        <is>
          <t>&lt;=</t>
        </is>
      </c>
      <c r="E22" s="21" t="n">
        <v>7</v>
      </c>
      <c r="F22" s="19" t="inlineStr">
        <is>
          <t>stressed loss &lt;= 7%/yr</t>
        </is>
      </c>
    </row>
    <row r="23">
      <c r="A23" s="15" t="inlineStr">
        <is>
          <t>4. Avg life</t>
        </is>
      </c>
      <c r="C23" s="22">
        <f>SUMPRODUCT(G5:G14,I5:I14)</f>
        <v/>
      </c>
      <c r="D23" s="17" t="inlineStr">
        <is>
          <t>&lt;=</t>
        </is>
      </c>
      <c r="E23" s="23" t="n">
        <v>2.6</v>
      </c>
      <c r="F23" s="19" t="inlineStr">
        <is>
          <t>weighted avg life &lt;= 2.6 yrs</t>
        </is>
      </c>
    </row>
    <row r="24">
      <c r="A24" s="15" t="inlineStr">
        <is>
          <t>5. 5-yr min</t>
        </is>
      </c>
      <c r="C24" s="16">
        <f>SUMIF($C$5:$C$14,60,I5:I14)</f>
        <v/>
      </c>
      <c r="D24" s="17" t="inlineStr">
        <is>
          <t>&gt;=</t>
        </is>
      </c>
      <c r="E24" s="18" t="n">
        <v>0.2</v>
      </c>
      <c r="F24" s="19" t="inlineStr">
        <is>
          <t>five-year (60m) share &gt;= 20%</t>
        </is>
      </c>
    </row>
    <row r="25">
      <c r="A25" s="15" t="inlineStr">
        <is>
          <t>6. 5-yr max</t>
        </is>
      </c>
      <c r="C25" s="16">
        <f>SUMIF($C$5:$C$14,60,I5:I14)</f>
        <v/>
      </c>
      <c r="D25" s="17" t="inlineStr">
        <is>
          <t>&lt;=</t>
        </is>
      </c>
      <c r="E25" s="18" t="n">
        <v>0.4</v>
      </c>
      <c r="F25" s="19" t="inlineStr">
        <is>
          <t>five-year (60m) share &lt;= 40%</t>
        </is>
      </c>
    </row>
    <row r="26">
      <c r="A26" s="15" t="inlineStr">
        <is>
          <t>7. Grade A min</t>
        </is>
      </c>
      <c r="C26" s="16">
        <f>I5+I6</f>
        <v/>
      </c>
      <c r="D26" s="17" t="inlineStr">
        <is>
          <t>&gt;=</t>
        </is>
      </c>
      <c r="E26" s="18" t="n">
        <v>0.15</v>
      </c>
      <c r="F26" s="19" t="inlineStr">
        <is>
          <t>Grade A (A-36+A-60) &gt;= 15%</t>
        </is>
      </c>
    </row>
    <row r="27">
      <c r="A27" s="15" t="inlineStr">
        <is>
          <t>8. Grade C max</t>
        </is>
      </c>
      <c r="C27" s="16">
        <f>I9+I10</f>
        <v/>
      </c>
      <c r="D27" s="17" t="inlineStr">
        <is>
          <t>&lt;=</t>
        </is>
      </c>
      <c r="E27" s="18" t="n">
        <v>0.35</v>
      </c>
      <c r="F27" s="19" t="inlineStr">
        <is>
          <t>Grade C (C-36+C-60) &lt;= 35%</t>
        </is>
      </c>
    </row>
    <row r="28">
      <c r="A28" s="15" t="inlineStr">
        <is>
          <t>9. Grade D max</t>
        </is>
      </c>
      <c r="C28" s="16">
        <f>I11+I12</f>
        <v/>
      </c>
      <c r="D28" s="17" t="inlineStr">
        <is>
          <t>&lt;=</t>
        </is>
      </c>
      <c r="E28" s="18" t="n">
        <v>0.25</v>
      </c>
      <c r="F28" s="19" t="inlineStr">
        <is>
          <t>Grade D (D-36+D-60) &lt;= 25%</t>
        </is>
      </c>
    </row>
    <row r="29">
      <c r="A29" s="15" t="inlineStr">
        <is>
          <t>10. Grade E max</t>
        </is>
      </c>
      <c r="C29" s="16">
        <f>I13+I14</f>
        <v/>
      </c>
      <c r="D29" s="17" t="inlineStr">
        <is>
          <t>&lt;=</t>
        </is>
      </c>
      <c r="E29" s="18" t="n">
        <v>0.15</v>
      </c>
      <c r="F29" s="19" t="inlineStr">
        <is>
          <t>Grade E (E-36+E-60) &lt;= 15%</t>
        </is>
      </c>
    </row>
    <row r="30">
      <c r="A30" s="15" t="inlineStr">
        <is>
          <t>11. Supply caps</t>
        </is>
      </c>
      <c r="C30" s="24" t="inlineStr">
        <is>
          <t>I5:I14</t>
        </is>
      </c>
      <c r="D30" s="17" t="inlineStr">
        <is>
          <t>&lt;=</t>
        </is>
      </c>
      <c r="E30" s="25" t="inlineStr">
        <is>
          <t>H5:H14</t>
        </is>
      </c>
      <c r="F30" s="19" t="inlineStr">
        <is>
          <t>each bucket &lt;= its supply cap (column H)</t>
        </is>
      </c>
    </row>
    <row r="32">
      <c r="A32" s="12" t="inlineStr">
        <is>
          <t>SOLVER SETUP (Data -&gt; Solver)</t>
        </is>
      </c>
    </row>
    <row r="33">
      <c r="A33" s="13" t="inlineStr">
        <is>
          <t>Item</t>
        </is>
      </c>
      <c r="B33" s="10" t="n"/>
      <c r="C33" s="13" t="inlineStr">
        <is>
          <t>Entry</t>
        </is>
      </c>
      <c r="D33" s="14" t="n"/>
      <c r="E33" s="14" t="n"/>
      <c r="F33" s="14" t="n"/>
      <c r="G33" s="10" t="n"/>
      <c r="H33" s="13" t="inlineStr">
        <is>
          <t>Note</t>
        </is>
      </c>
      <c r="I33" s="10" t="n"/>
    </row>
    <row r="34">
      <c r="A34" s="15" t="inlineStr">
        <is>
          <t>Set Objective</t>
        </is>
      </c>
      <c r="C34" s="26" t="inlineStr">
        <is>
          <t>$C$16</t>
        </is>
      </c>
      <c r="H34" s="19" t="inlineStr">
        <is>
          <t>To: Max</t>
        </is>
      </c>
    </row>
    <row r="35">
      <c r="A35" s="15" t="inlineStr">
        <is>
          <t>By Changing Variable Cells</t>
        </is>
      </c>
      <c r="C35" s="26" t="inlineStr">
        <is>
          <t>$I$5:$I$14</t>
        </is>
      </c>
      <c r="H35" s="19" t="inlineStr">
        <is>
          <t>the 10 yellow weights</t>
        </is>
      </c>
    </row>
    <row r="36">
      <c r="A36" s="15" t="inlineStr">
        <is>
          <t>Subject to the Constraints</t>
        </is>
      </c>
      <c r="C36" s="26" t="inlineStr">
        <is>
          <t>$C$20=$E$20 ; $C$21&lt;=$E$21 ; $C$22&lt;=$E$22 ; $C$23&lt;=$E$23 ; $C$24&gt;=$E$24 ; $C$25&lt;=$E$25 ; $C$26&gt;=$E$26 ; $C$27&lt;=$E$27 ; $C$28&lt;=$E$28 ; $C$29&lt;=$E$29 ; $I$5:$I$14&lt;=$H$5:$H$14</t>
        </is>
      </c>
      <c r="H36" s="19" t="inlineStr"/>
    </row>
    <row r="37">
      <c r="A37" s="15" t="inlineStr">
        <is>
          <t>Options</t>
        </is>
      </c>
      <c r="C37" s="26" t="inlineStr">
        <is>
          <t>Check 'Make Unconstrained Variables Non-Negative'</t>
        </is>
      </c>
      <c r="H37" s="19" t="inlineStr"/>
    </row>
    <row r="38">
      <c r="A38" s="15" t="inlineStr">
        <is>
          <t>Solving Method</t>
        </is>
      </c>
      <c r="C38" s="26" t="inlineStr">
        <is>
          <t>Simplex LP</t>
        </is>
      </c>
      <c r="H38" s="19" t="inlineStr">
        <is>
          <t>linear -&gt; GLOBAL optimum</t>
        </is>
      </c>
    </row>
    <row r="40">
      <c r="A40" s="27" t="inlineStr">
        <is>
          <t>GLOBAL OPTIMUM = 10.094%.  A-36 15% | B-36 17.53% | C-36 5% | C-60 30% | D-36 22.47% | D-60 2.53% | E-60 7.47%.  5-yr share = 40% (binding).  Full 10-bucket universe (grades A-E x 36/60m).</t>
        </is>
      </c>
    </row>
  </sheetData>
  <mergeCells count="47">
    <mergeCell ref="A24:B24"/>
    <mergeCell ref="A30:B30"/>
    <mergeCell ref="F27:I27"/>
    <mergeCell ref="C34:G34"/>
    <mergeCell ref="H35:I35"/>
    <mergeCell ref="H38:I38"/>
    <mergeCell ref="C33:G33"/>
    <mergeCell ref="A36:B36"/>
    <mergeCell ref="D16:I16"/>
    <mergeCell ref="H34:I34"/>
    <mergeCell ref="C35:G35"/>
    <mergeCell ref="A16:B16"/>
    <mergeCell ref="A2:I2"/>
    <mergeCell ref="A25:B25"/>
    <mergeCell ref="A37:B37"/>
    <mergeCell ref="F29:I29"/>
    <mergeCell ref="H36:I36"/>
    <mergeCell ref="F19:I19"/>
    <mergeCell ref="F25:I25"/>
    <mergeCell ref="A27:B27"/>
    <mergeCell ref="A26:B26"/>
    <mergeCell ref="A21:B21"/>
    <mergeCell ref="F28:I28"/>
    <mergeCell ref="A33:B33"/>
    <mergeCell ref="F24:I24"/>
    <mergeCell ref="F30:I30"/>
    <mergeCell ref="A40:I40"/>
    <mergeCell ref="F21:I21"/>
    <mergeCell ref="H37:I37"/>
    <mergeCell ref="C36:G36"/>
    <mergeCell ref="A23:B23"/>
    <mergeCell ref="F20:I20"/>
    <mergeCell ref="A22:B22"/>
    <mergeCell ref="A35:B35"/>
    <mergeCell ref="A20:B20"/>
    <mergeCell ref="A38:B38"/>
    <mergeCell ref="F26:I26"/>
    <mergeCell ref="A29:B29"/>
    <mergeCell ref="C38:G38"/>
    <mergeCell ref="A19:B19"/>
    <mergeCell ref="A28:B28"/>
    <mergeCell ref="A1:I1"/>
    <mergeCell ref="H33:I33"/>
    <mergeCell ref="C37:G37"/>
    <mergeCell ref="F23:I23"/>
    <mergeCell ref="A34:B34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2026-07-09T13:37:58Z</dcterms:created>
  <dcterms:modified xsi:type="dcterms:W3CDTF">2026-07-09T13:37:58Z</dcterms:modified>
</cp:coreProperties>
</file>