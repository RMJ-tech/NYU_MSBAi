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_MutualFunds" sheetId="1" state="visible" r:id="rId1"/>
    <sheet name="3B_MontyH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</font>
    <font>
      <b val="1"/>
      <color rgb="00FFFFFF"/>
      <sz val="11"/>
    </font>
    <font>
      <name val="Consolas"/>
      <sz val="10"/>
    </font>
    <font>
      <b val="1"/>
      <sz val="12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2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3A. Mutual Funds — P(best of 100 funds beats market ≥ 11 of 13 yrs)</t>
        </is>
      </c>
    </row>
    <row r="2">
      <c r="A2" s="2" t="inlineStr">
        <is>
          <t>Blue = inputs.  Yellow = CB Assumption cells.  Orange = CB Forecast cell.  (=CB.* shows #NAME? until Crystal Ball is loaded.)</t>
        </is>
      </c>
    </row>
    <row r="4">
      <c r="A4" s="3" t="inlineStr">
        <is>
          <t>P(beat market / year)</t>
        </is>
      </c>
      <c r="B4" s="4" t="n">
        <v>0.5</v>
      </c>
    </row>
    <row r="5">
      <c r="A5" s="3" t="inlineStr">
        <is>
          <t>Years</t>
        </is>
      </c>
      <c r="B5" s="5" t="n">
        <v>13</v>
      </c>
    </row>
    <row r="6">
      <c r="A6" s="3" t="inlineStr">
        <is>
          <t>Number of funds</t>
        </is>
      </c>
      <c r="B6" s="5" t="n">
        <v>100</v>
      </c>
    </row>
    <row r="7">
      <c r="A7" s="3" t="inlineStr">
        <is>
          <t>Threshold (≥)</t>
        </is>
      </c>
      <c r="B7" s="5" t="n">
        <v>11</v>
      </c>
    </row>
    <row r="9">
      <c r="A9" s="6" t="inlineStr">
        <is>
          <t>Fund #</t>
        </is>
      </c>
      <c r="B9" s="6" t="inlineStr">
        <is>
          <t>Years beaten  =CB.Binomial(p, years)</t>
        </is>
      </c>
    </row>
    <row r="10">
      <c r="A10" s="7" t="n">
        <v>1</v>
      </c>
      <c r="B10" s="8">
        <f>CB.Binomial($B$4,$B$5)</f>
        <v/>
      </c>
    </row>
    <row r="11">
      <c r="A11" s="7" t="n">
        <v>2</v>
      </c>
      <c r="B11" s="8">
        <f>CB.Binomial($B$4,$B$5)</f>
        <v/>
      </c>
    </row>
    <row r="12">
      <c r="A12" s="7" t="n">
        <v>3</v>
      </c>
      <c r="B12" s="8">
        <f>CB.Binomial($B$4,$B$5)</f>
        <v/>
      </c>
    </row>
    <row r="13">
      <c r="A13" s="7" t="n">
        <v>4</v>
      </c>
      <c r="B13" s="8">
        <f>CB.Binomial($B$4,$B$5)</f>
        <v/>
      </c>
    </row>
    <row r="14">
      <c r="A14" s="7" t="n">
        <v>5</v>
      </c>
      <c r="B14" s="8">
        <f>CB.Binomial($B$4,$B$5)</f>
        <v/>
      </c>
    </row>
    <row r="15">
      <c r="A15" s="7" t="n">
        <v>6</v>
      </c>
      <c r="B15" s="8">
        <f>CB.Binomial($B$4,$B$5)</f>
        <v/>
      </c>
    </row>
    <row r="16">
      <c r="A16" s="7" t="n">
        <v>7</v>
      </c>
      <c r="B16" s="8">
        <f>CB.Binomial($B$4,$B$5)</f>
        <v/>
      </c>
    </row>
    <row r="17">
      <c r="A17" s="7" t="n">
        <v>8</v>
      </c>
      <c r="B17" s="8">
        <f>CB.Binomial($B$4,$B$5)</f>
        <v/>
      </c>
    </row>
    <row r="18">
      <c r="A18" s="7" t="n">
        <v>9</v>
      </c>
      <c r="B18" s="8">
        <f>CB.Binomial($B$4,$B$5)</f>
        <v/>
      </c>
    </row>
    <row r="19">
      <c r="A19" s="7" t="n">
        <v>10</v>
      </c>
      <c r="B19" s="8">
        <f>CB.Binomial($B$4,$B$5)</f>
        <v/>
      </c>
    </row>
    <row r="20">
      <c r="A20" s="7" t="n">
        <v>11</v>
      </c>
      <c r="B20" s="8">
        <f>CB.Binomial($B$4,$B$5)</f>
        <v/>
      </c>
    </row>
    <row r="21">
      <c r="A21" s="7" t="n">
        <v>12</v>
      </c>
      <c r="B21" s="8">
        <f>CB.Binomial($B$4,$B$5)</f>
        <v/>
      </c>
    </row>
    <row r="22">
      <c r="A22" s="7" t="n">
        <v>13</v>
      </c>
      <c r="B22" s="8">
        <f>CB.Binomial($B$4,$B$5)</f>
        <v/>
      </c>
    </row>
    <row r="23">
      <c r="A23" s="7" t="n">
        <v>14</v>
      </c>
      <c r="B23" s="8">
        <f>CB.Binomial($B$4,$B$5)</f>
        <v/>
      </c>
    </row>
    <row r="24">
      <c r="A24" s="7" t="n">
        <v>15</v>
      </c>
      <c r="B24" s="8">
        <f>CB.Binomial($B$4,$B$5)</f>
        <v/>
      </c>
    </row>
    <row r="25">
      <c r="A25" s="7" t="n">
        <v>16</v>
      </c>
      <c r="B25" s="8">
        <f>CB.Binomial($B$4,$B$5)</f>
        <v/>
      </c>
    </row>
    <row r="26">
      <c r="A26" s="7" t="n">
        <v>17</v>
      </c>
      <c r="B26" s="8">
        <f>CB.Binomial($B$4,$B$5)</f>
        <v/>
      </c>
    </row>
    <row r="27">
      <c r="A27" s="7" t="n">
        <v>18</v>
      </c>
      <c r="B27" s="8">
        <f>CB.Binomial($B$4,$B$5)</f>
        <v/>
      </c>
    </row>
    <row r="28">
      <c r="A28" s="7" t="n">
        <v>19</v>
      </c>
      <c r="B28" s="8">
        <f>CB.Binomial($B$4,$B$5)</f>
        <v/>
      </c>
    </row>
    <row r="29">
      <c r="A29" s="7" t="n">
        <v>20</v>
      </c>
      <c r="B29" s="8">
        <f>CB.Binomial($B$4,$B$5)</f>
        <v/>
      </c>
    </row>
    <row r="30">
      <c r="A30" s="7" t="n">
        <v>21</v>
      </c>
      <c r="B30" s="8">
        <f>CB.Binomial($B$4,$B$5)</f>
        <v/>
      </c>
    </row>
    <row r="31">
      <c r="A31" s="7" t="n">
        <v>22</v>
      </c>
      <c r="B31" s="8">
        <f>CB.Binomial($B$4,$B$5)</f>
        <v/>
      </c>
    </row>
    <row r="32">
      <c r="A32" s="7" t="n">
        <v>23</v>
      </c>
      <c r="B32" s="8">
        <f>CB.Binomial($B$4,$B$5)</f>
        <v/>
      </c>
    </row>
    <row r="33">
      <c r="A33" s="7" t="n">
        <v>24</v>
      </c>
      <c r="B33" s="8">
        <f>CB.Binomial($B$4,$B$5)</f>
        <v/>
      </c>
    </row>
    <row r="34">
      <c r="A34" s="7" t="n">
        <v>25</v>
      </c>
      <c r="B34" s="8">
        <f>CB.Binomial($B$4,$B$5)</f>
        <v/>
      </c>
    </row>
    <row r="35">
      <c r="A35" s="7" t="n">
        <v>26</v>
      </c>
      <c r="B35" s="8">
        <f>CB.Binomial($B$4,$B$5)</f>
        <v/>
      </c>
    </row>
    <row r="36">
      <c r="A36" s="7" t="n">
        <v>27</v>
      </c>
      <c r="B36" s="8">
        <f>CB.Binomial($B$4,$B$5)</f>
        <v/>
      </c>
    </row>
    <row r="37">
      <c r="A37" s="7" t="n">
        <v>28</v>
      </c>
      <c r="B37" s="8">
        <f>CB.Binomial($B$4,$B$5)</f>
        <v/>
      </c>
    </row>
    <row r="38">
      <c r="A38" s="7" t="n">
        <v>29</v>
      </c>
      <c r="B38" s="8">
        <f>CB.Binomial($B$4,$B$5)</f>
        <v/>
      </c>
    </row>
    <row r="39">
      <c r="A39" s="7" t="n">
        <v>30</v>
      </c>
      <c r="B39" s="8">
        <f>CB.Binomial($B$4,$B$5)</f>
        <v/>
      </c>
    </row>
    <row r="40">
      <c r="A40" s="7" t="n">
        <v>31</v>
      </c>
      <c r="B40" s="8">
        <f>CB.Binomial($B$4,$B$5)</f>
        <v/>
      </c>
    </row>
    <row r="41">
      <c r="A41" s="7" t="n">
        <v>32</v>
      </c>
      <c r="B41" s="8">
        <f>CB.Binomial($B$4,$B$5)</f>
        <v/>
      </c>
    </row>
    <row r="42">
      <c r="A42" s="7" t="n">
        <v>33</v>
      </c>
      <c r="B42" s="8">
        <f>CB.Binomial($B$4,$B$5)</f>
        <v/>
      </c>
    </row>
    <row r="43">
      <c r="A43" s="7" t="n">
        <v>34</v>
      </c>
      <c r="B43" s="8">
        <f>CB.Binomial($B$4,$B$5)</f>
        <v/>
      </c>
    </row>
    <row r="44">
      <c r="A44" s="7" t="n">
        <v>35</v>
      </c>
      <c r="B44" s="8">
        <f>CB.Binomial($B$4,$B$5)</f>
        <v/>
      </c>
    </row>
    <row r="45">
      <c r="A45" s="7" t="n">
        <v>36</v>
      </c>
      <c r="B45" s="8">
        <f>CB.Binomial($B$4,$B$5)</f>
        <v/>
      </c>
    </row>
    <row r="46">
      <c r="A46" s="7" t="n">
        <v>37</v>
      </c>
      <c r="B46" s="8">
        <f>CB.Binomial($B$4,$B$5)</f>
        <v/>
      </c>
    </row>
    <row r="47">
      <c r="A47" s="7" t="n">
        <v>38</v>
      </c>
      <c r="B47" s="8">
        <f>CB.Binomial($B$4,$B$5)</f>
        <v/>
      </c>
    </row>
    <row r="48">
      <c r="A48" s="7" t="n">
        <v>39</v>
      </c>
      <c r="B48" s="8">
        <f>CB.Binomial($B$4,$B$5)</f>
        <v/>
      </c>
    </row>
    <row r="49">
      <c r="A49" s="7" t="n">
        <v>40</v>
      </c>
      <c r="B49" s="8">
        <f>CB.Binomial($B$4,$B$5)</f>
        <v/>
      </c>
    </row>
    <row r="50">
      <c r="A50" s="7" t="n">
        <v>41</v>
      </c>
      <c r="B50" s="8">
        <f>CB.Binomial($B$4,$B$5)</f>
        <v/>
      </c>
    </row>
    <row r="51">
      <c r="A51" s="7" t="n">
        <v>42</v>
      </c>
      <c r="B51" s="8">
        <f>CB.Binomial($B$4,$B$5)</f>
        <v/>
      </c>
    </row>
    <row r="52">
      <c r="A52" s="7" t="n">
        <v>43</v>
      </c>
      <c r="B52" s="8">
        <f>CB.Binomial($B$4,$B$5)</f>
        <v/>
      </c>
    </row>
    <row r="53">
      <c r="A53" s="7" t="n">
        <v>44</v>
      </c>
      <c r="B53" s="8">
        <f>CB.Binomial($B$4,$B$5)</f>
        <v/>
      </c>
    </row>
    <row r="54">
      <c r="A54" s="7" t="n">
        <v>45</v>
      </c>
      <c r="B54" s="8">
        <f>CB.Binomial($B$4,$B$5)</f>
        <v/>
      </c>
    </row>
    <row r="55">
      <c r="A55" s="7" t="n">
        <v>46</v>
      </c>
      <c r="B55" s="8">
        <f>CB.Binomial($B$4,$B$5)</f>
        <v/>
      </c>
    </row>
    <row r="56">
      <c r="A56" s="7" t="n">
        <v>47</v>
      </c>
      <c r="B56" s="8">
        <f>CB.Binomial($B$4,$B$5)</f>
        <v/>
      </c>
    </row>
    <row r="57">
      <c r="A57" s="7" t="n">
        <v>48</v>
      </c>
      <c r="B57" s="8">
        <f>CB.Binomial($B$4,$B$5)</f>
        <v/>
      </c>
    </row>
    <row r="58">
      <c r="A58" s="7" t="n">
        <v>49</v>
      </c>
      <c r="B58" s="8">
        <f>CB.Binomial($B$4,$B$5)</f>
        <v/>
      </c>
    </row>
    <row r="59">
      <c r="A59" s="7" t="n">
        <v>50</v>
      </c>
      <c r="B59" s="8">
        <f>CB.Binomial($B$4,$B$5)</f>
        <v/>
      </c>
    </row>
    <row r="60">
      <c r="A60" s="7" t="n">
        <v>51</v>
      </c>
      <c r="B60" s="8">
        <f>CB.Binomial($B$4,$B$5)</f>
        <v/>
      </c>
    </row>
    <row r="61">
      <c r="A61" s="7" t="n">
        <v>52</v>
      </c>
      <c r="B61" s="8">
        <f>CB.Binomial($B$4,$B$5)</f>
        <v/>
      </c>
    </row>
    <row r="62">
      <c r="A62" s="7" t="n">
        <v>53</v>
      </c>
      <c r="B62" s="8">
        <f>CB.Binomial($B$4,$B$5)</f>
        <v/>
      </c>
    </row>
    <row r="63">
      <c r="A63" s="7" t="n">
        <v>54</v>
      </c>
      <c r="B63" s="8">
        <f>CB.Binomial($B$4,$B$5)</f>
        <v/>
      </c>
    </row>
    <row r="64">
      <c r="A64" s="7" t="n">
        <v>55</v>
      </c>
      <c r="B64" s="8">
        <f>CB.Binomial($B$4,$B$5)</f>
        <v/>
      </c>
    </row>
    <row r="65">
      <c r="A65" s="7" t="n">
        <v>56</v>
      </c>
      <c r="B65" s="8">
        <f>CB.Binomial($B$4,$B$5)</f>
        <v/>
      </c>
    </row>
    <row r="66">
      <c r="A66" s="7" t="n">
        <v>57</v>
      </c>
      <c r="B66" s="8">
        <f>CB.Binomial($B$4,$B$5)</f>
        <v/>
      </c>
    </row>
    <row r="67">
      <c r="A67" s="7" t="n">
        <v>58</v>
      </c>
      <c r="B67" s="8">
        <f>CB.Binomial($B$4,$B$5)</f>
        <v/>
      </c>
    </row>
    <row r="68">
      <c r="A68" s="7" t="n">
        <v>59</v>
      </c>
      <c r="B68" s="8">
        <f>CB.Binomial($B$4,$B$5)</f>
        <v/>
      </c>
    </row>
    <row r="69">
      <c r="A69" s="7" t="n">
        <v>60</v>
      </c>
      <c r="B69" s="8">
        <f>CB.Binomial($B$4,$B$5)</f>
        <v/>
      </c>
    </row>
    <row r="70">
      <c r="A70" s="7" t="n">
        <v>61</v>
      </c>
      <c r="B70" s="8">
        <f>CB.Binomial($B$4,$B$5)</f>
        <v/>
      </c>
    </row>
    <row r="71">
      <c r="A71" s="7" t="n">
        <v>62</v>
      </c>
      <c r="B71" s="8">
        <f>CB.Binomial($B$4,$B$5)</f>
        <v/>
      </c>
    </row>
    <row r="72">
      <c r="A72" s="7" t="n">
        <v>63</v>
      </c>
      <c r="B72" s="8">
        <f>CB.Binomial($B$4,$B$5)</f>
        <v/>
      </c>
    </row>
    <row r="73">
      <c r="A73" s="7" t="n">
        <v>64</v>
      </c>
      <c r="B73" s="8">
        <f>CB.Binomial($B$4,$B$5)</f>
        <v/>
      </c>
    </row>
    <row r="74">
      <c r="A74" s="7" t="n">
        <v>65</v>
      </c>
      <c r="B74" s="8">
        <f>CB.Binomial($B$4,$B$5)</f>
        <v/>
      </c>
    </row>
    <row r="75">
      <c r="A75" s="7" t="n">
        <v>66</v>
      </c>
      <c r="B75" s="8">
        <f>CB.Binomial($B$4,$B$5)</f>
        <v/>
      </c>
    </row>
    <row r="76">
      <c r="A76" s="7" t="n">
        <v>67</v>
      </c>
      <c r="B76" s="8">
        <f>CB.Binomial($B$4,$B$5)</f>
        <v/>
      </c>
    </row>
    <row r="77">
      <c r="A77" s="7" t="n">
        <v>68</v>
      </c>
      <c r="B77" s="8">
        <f>CB.Binomial($B$4,$B$5)</f>
        <v/>
      </c>
    </row>
    <row r="78">
      <c r="A78" s="7" t="n">
        <v>69</v>
      </c>
      <c r="B78" s="8">
        <f>CB.Binomial($B$4,$B$5)</f>
        <v/>
      </c>
    </row>
    <row r="79">
      <c r="A79" s="7" t="n">
        <v>70</v>
      </c>
      <c r="B79" s="8">
        <f>CB.Binomial($B$4,$B$5)</f>
        <v/>
      </c>
    </row>
    <row r="80">
      <c r="A80" s="7" t="n">
        <v>71</v>
      </c>
      <c r="B80" s="8">
        <f>CB.Binomial($B$4,$B$5)</f>
        <v/>
      </c>
    </row>
    <row r="81">
      <c r="A81" s="7" t="n">
        <v>72</v>
      </c>
      <c r="B81" s="8">
        <f>CB.Binomial($B$4,$B$5)</f>
        <v/>
      </c>
    </row>
    <row r="82">
      <c r="A82" s="7" t="n">
        <v>73</v>
      </c>
      <c r="B82" s="8">
        <f>CB.Binomial($B$4,$B$5)</f>
        <v/>
      </c>
    </row>
    <row r="83">
      <c r="A83" s="7" t="n">
        <v>74</v>
      </c>
      <c r="B83" s="8">
        <f>CB.Binomial($B$4,$B$5)</f>
        <v/>
      </c>
    </row>
    <row r="84">
      <c r="A84" s="7" t="n">
        <v>75</v>
      </c>
      <c r="B84" s="8">
        <f>CB.Binomial($B$4,$B$5)</f>
        <v/>
      </c>
    </row>
    <row r="85">
      <c r="A85" s="7" t="n">
        <v>76</v>
      </c>
      <c r="B85" s="8">
        <f>CB.Binomial($B$4,$B$5)</f>
        <v/>
      </c>
    </row>
    <row r="86">
      <c r="A86" s="7" t="n">
        <v>77</v>
      </c>
      <c r="B86" s="8">
        <f>CB.Binomial($B$4,$B$5)</f>
        <v/>
      </c>
    </row>
    <row r="87">
      <c r="A87" s="7" t="n">
        <v>78</v>
      </c>
      <c r="B87" s="8">
        <f>CB.Binomial($B$4,$B$5)</f>
        <v/>
      </c>
    </row>
    <row r="88">
      <c r="A88" s="7" t="n">
        <v>79</v>
      </c>
      <c r="B88" s="8">
        <f>CB.Binomial($B$4,$B$5)</f>
        <v/>
      </c>
    </row>
    <row r="89">
      <c r="A89" s="7" t="n">
        <v>80</v>
      </c>
      <c r="B89" s="8">
        <f>CB.Binomial($B$4,$B$5)</f>
        <v/>
      </c>
    </row>
    <row r="90">
      <c r="A90" s="7" t="n">
        <v>81</v>
      </c>
      <c r="B90" s="8">
        <f>CB.Binomial($B$4,$B$5)</f>
        <v/>
      </c>
    </row>
    <row r="91">
      <c r="A91" s="7" t="n">
        <v>82</v>
      </c>
      <c r="B91" s="8">
        <f>CB.Binomial($B$4,$B$5)</f>
        <v/>
      </c>
    </row>
    <row r="92">
      <c r="A92" s="7" t="n">
        <v>83</v>
      </c>
      <c r="B92" s="8">
        <f>CB.Binomial($B$4,$B$5)</f>
        <v/>
      </c>
    </row>
    <row r="93">
      <c r="A93" s="7" t="n">
        <v>84</v>
      </c>
      <c r="B93" s="8">
        <f>CB.Binomial($B$4,$B$5)</f>
        <v/>
      </c>
    </row>
    <row r="94">
      <c r="A94" s="7" t="n">
        <v>85</v>
      </c>
      <c r="B94" s="8">
        <f>CB.Binomial($B$4,$B$5)</f>
        <v/>
      </c>
    </row>
    <row r="95">
      <c r="A95" s="7" t="n">
        <v>86</v>
      </c>
      <c r="B95" s="8">
        <f>CB.Binomial($B$4,$B$5)</f>
        <v/>
      </c>
    </row>
    <row r="96">
      <c r="A96" s="7" t="n">
        <v>87</v>
      </c>
      <c r="B96" s="8">
        <f>CB.Binomial($B$4,$B$5)</f>
        <v/>
      </c>
    </row>
    <row r="97">
      <c r="A97" s="7" t="n">
        <v>88</v>
      </c>
      <c r="B97" s="8">
        <f>CB.Binomial($B$4,$B$5)</f>
        <v/>
      </c>
    </row>
    <row r="98">
      <c r="A98" s="7" t="n">
        <v>89</v>
      </c>
      <c r="B98" s="8">
        <f>CB.Binomial($B$4,$B$5)</f>
        <v/>
      </c>
    </row>
    <row r="99">
      <c r="A99" s="7" t="n">
        <v>90</v>
      </c>
      <c r="B99" s="8">
        <f>CB.Binomial($B$4,$B$5)</f>
        <v/>
      </c>
    </row>
    <row r="100">
      <c r="A100" s="7" t="n">
        <v>91</v>
      </c>
      <c r="B100" s="8">
        <f>CB.Binomial($B$4,$B$5)</f>
        <v/>
      </c>
    </row>
    <row r="101">
      <c r="A101" s="7" t="n">
        <v>92</v>
      </c>
      <c r="B101" s="8">
        <f>CB.Binomial($B$4,$B$5)</f>
        <v/>
      </c>
    </row>
    <row r="102">
      <c r="A102" s="7" t="n">
        <v>93</v>
      </c>
      <c r="B102" s="8">
        <f>CB.Binomial($B$4,$B$5)</f>
        <v/>
      </c>
    </row>
    <row r="103">
      <c r="A103" s="7" t="n">
        <v>94</v>
      </c>
      <c r="B103" s="8">
        <f>CB.Binomial($B$4,$B$5)</f>
        <v/>
      </c>
    </row>
    <row r="104">
      <c r="A104" s="7" t="n">
        <v>95</v>
      </c>
      <c r="B104" s="8">
        <f>CB.Binomial($B$4,$B$5)</f>
        <v/>
      </c>
    </row>
    <row r="105">
      <c r="A105" s="7" t="n">
        <v>96</v>
      </c>
      <c r="B105" s="8">
        <f>CB.Binomial($B$4,$B$5)</f>
        <v/>
      </c>
    </row>
    <row r="106">
      <c r="A106" s="7" t="n">
        <v>97</v>
      </c>
      <c r="B106" s="8">
        <f>CB.Binomial($B$4,$B$5)</f>
        <v/>
      </c>
    </row>
    <row r="107">
      <c r="A107" s="7" t="n">
        <v>98</v>
      </c>
      <c r="B107" s="8">
        <f>CB.Binomial($B$4,$B$5)</f>
        <v/>
      </c>
    </row>
    <row r="108">
      <c r="A108" s="7" t="n">
        <v>99</v>
      </c>
      <c r="B108" s="8">
        <f>CB.Binomial($B$4,$B$5)</f>
        <v/>
      </c>
    </row>
    <row r="109">
      <c r="A109" s="7" t="n">
        <v>100</v>
      </c>
      <c r="B109" s="8">
        <f>CB.Binomial($B$4,$B$5)</f>
        <v/>
      </c>
    </row>
    <row r="111">
      <c r="A111" s="3" t="inlineStr">
        <is>
          <t>Best of 100 (max)</t>
        </is>
      </c>
      <c r="B111" s="9">
        <f>MAX(B10:B109)</f>
        <v/>
      </c>
    </row>
    <row r="112">
      <c r="A112" s="3" t="inlineStr">
        <is>
          <t>FORECAST → best ≥ 11 ? (1/0)</t>
        </is>
      </c>
      <c r="B112" s="10">
        <f>IF(B111&gt;=$B$7,1,0)</f>
        <v/>
      </c>
    </row>
    <row r="114">
      <c r="A114" s="11" t="inlineStr">
        <is>
          <t>HOW TO USE</t>
        </is>
      </c>
    </row>
    <row r="115">
      <c r="A115" s="2" t="inlineStr">
        <is>
          <t>1. Define B10:B109 as Assumptions (typing =CB.Binomial auto-registers them).</t>
        </is>
      </c>
    </row>
    <row r="116">
      <c r="A116" s="2" t="inlineStr">
        <is>
          <t>2. Define B112 as the Forecast cell.</t>
        </is>
      </c>
    </row>
    <row r="117">
      <c r="A117" s="2" t="inlineStr">
        <is>
          <t>3. Run Preferences → 10,000 trials → Run.</t>
        </is>
      </c>
    </row>
    <row r="118">
      <c r="A118" s="2" t="inlineStr">
        <is>
          <t>4. B112 forecast MEAN = the probability (P best ≥ 11).  Capture frequency chart + statistics table.</t>
        </is>
      </c>
    </row>
    <row r="119">
      <c r="A119" s="2" t="inlineStr">
        <is>
          <t>Tip: verify CB.Binomial argument order (prob, trials) in the CB function wizard.</t>
        </is>
      </c>
    </row>
  </sheetData>
  <mergeCells count="7">
    <mergeCell ref="A116:D116"/>
    <mergeCell ref="A1:D1"/>
    <mergeCell ref="A118:D118"/>
    <mergeCell ref="A117:D117"/>
    <mergeCell ref="A119:D119"/>
    <mergeCell ref="A2:D2"/>
    <mergeCell ref="A115:D1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3B. Let's Make a Deal — should you switch?</t>
        </is>
      </c>
    </row>
    <row r="2">
      <c r="A2" s="2" t="inlineStr">
        <is>
          <t>Yellow = CB Assumption.  Orange = CB Forecast.  Each trial = one play of the game.</t>
        </is>
      </c>
    </row>
    <row r="4">
      <c r="A4" s="3" t="inlineStr">
        <is>
          <t>Prize door (1-3)</t>
        </is>
      </c>
      <c r="B4" s="8">
        <f>CB.DiscreteUniform(1,3)</f>
        <v/>
      </c>
    </row>
    <row r="5">
      <c r="A5" s="3" t="inlineStr">
        <is>
          <t>Chosen door (always 1)</t>
        </is>
      </c>
      <c r="B5" s="5" t="n">
        <v>1</v>
      </c>
    </row>
    <row r="7">
      <c r="A7" s="3" t="inlineStr">
        <is>
          <t>FORECAST → Win if NO switch (1/0)</t>
        </is>
      </c>
      <c r="B7" s="10">
        <f>IF(B4=B5,1,0)</f>
        <v/>
      </c>
    </row>
    <row r="8">
      <c r="A8" s="3" t="inlineStr">
        <is>
          <t>FORECAST → Win if SWITCH (1/0)</t>
        </is>
      </c>
      <c r="B8" s="10">
        <f>IF(B4&lt;&gt;B5,1,0)</f>
        <v/>
      </c>
    </row>
    <row r="10">
      <c r="A10" s="3" t="inlineStr">
        <is>
          <t>Wins, NO switch (× 10,000 plays)</t>
        </is>
      </c>
      <c r="B10" s="12">
        <f> mean(B7) × 10000</f>
        <v/>
      </c>
    </row>
    <row r="11">
      <c r="A11" s="3" t="inlineStr">
        <is>
          <t>Wins, SWITCH (× 5,000 plays)</t>
        </is>
      </c>
      <c r="B11" s="12">
        <f> mean(B8) × 5000</f>
        <v/>
      </c>
    </row>
    <row r="13">
      <c r="A13" s="11" t="inlineStr">
        <is>
          <t>HOW TO USE</t>
        </is>
      </c>
    </row>
    <row r="14">
      <c r="A14" s="2" t="inlineStr">
        <is>
          <t>1. Define B4 as Assumption (=CB.DiscreteUniform auto-registers).</t>
        </is>
      </c>
    </row>
    <row r="15">
      <c r="A15" s="2" t="inlineStr">
        <is>
          <t>2. Define B7 AND B8 as Forecast cells.</t>
        </is>
      </c>
    </row>
    <row r="16">
      <c r="A16" s="2" t="inlineStr">
        <is>
          <t>3. No-switch: Run 10,000 trials → wins ≈ B7 mean × 10,000.</t>
        </is>
      </c>
    </row>
    <row r="17">
      <c r="A17" s="2" t="inlineStr">
        <is>
          <t>4. Switch: Run 5,000 trials → wins ≈ B8 mean × 5,000.  (mean is same regardless of trial count; only the count scales.)</t>
        </is>
      </c>
    </row>
    <row r="18">
      <c r="A18" s="2" t="inlineStr">
        <is>
          <t>5. Compare the two win rates → decide whether to switch.  Capture frequency charts + statistics tables.</t>
        </is>
      </c>
    </row>
  </sheetData>
  <mergeCells count="7">
    <mergeCell ref="A1:D1"/>
    <mergeCell ref="A17:D17"/>
    <mergeCell ref="A18:D18"/>
    <mergeCell ref="A15:D15"/>
    <mergeCell ref="A16:D1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2026-07-06T12:43:08Z</dcterms:created>
  <dcterms:modified xsi:type="dcterms:W3CDTF">2026-07-06T12:43:08Z</dcterms:modified>
</cp:coreProperties>
</file>